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Selesai\Project P37590924 (Completing 2 Stage Least Square)\"/>
    </mc:Choice>
  </mc:AlternateContent>
  <xr:revisionPtr revIDLastSave="0" documentId="13_ncr:1_{2AAE872A-99FE-4BD8-9588-5B15DFD03119}" xr6:coauthVersionLast="47" xr6:coauthVersionMax="47" xr10:uidLastSave="{00000000-0000-0000-0000-000000000000}"/>
  <bookViews>
    <workbookView xWindow="-90" yWindow="0" windowWidth="9780" windowHeight="10170" firstSheet="4" activeTab="5" xr2:uid="{00000000-000D-0000-FFFF-FFFF00000000}"/>
  </bookViews>
  <sheets>
    <sheet name="Persamaan Total" sheetId="33" r:id="rId1"/>
    <sheet name="Persamaan NI 1" sheetId="24" r:id="rId2"/>
    <sheet name="Eq NI 1" sheetId="56" r:id="rId3"/>
    <sheet name="Persamaan NI 2" sheetId="25" r:id="rId4"/>
    <sheet name="Eq NI 2" sheetId="57" r:id="rId5"/>
    <sheet name="Persamaan NI 3" sheetId="10" r:id="rId6"/>
    <sheet name="Eq NI 3" sheetId="38" r:id="rId7"/>
    <sheet name="Persamaan 1" sheetId="3" r:id="rId8"/>
    <sheet name="Eq1" sheetId="34" r:id="rId9"/>
    <sheet name="Data Persamaan 1" sheetId="64" r:id="rId10"/>
    <sheet name="Persamaan 2" sheetId="4" r:id="rId11"/>
    <sheet name="Eq2" sheetId="35" r:id="rId12"/>
    <sheet name="Data Persamaan 2" sheetId="65" r:id="rId13"/>
    <sheet name="Persamaan 3" sheetId="5" r:id="rId14"/>
    <sheet name="Eq3" sheetId="36" r:id="rId15"/>
    <sheet name="Data Persamaan 3" sheetId="66" r:id="rId16"/>
    <sheet name="Persamaan 4" sheetId="27" r:id="rId17"/>
    <sheet name="Eq4" sheetId="60" r:id="rId18"/>
    <sheet name="Data Persamaan 4" sheetId="67" r:id="rId19"/>
    <sheet name="Persamaan 5" sheetId="12" r:id="rId20"/>
    <sheet name="Eq5" sheetId="39" r:id="rId21"/>
    <sheet name="Data Persamaan 5" sheetId="68" r:id="rId22"/>
    <sheet name="Data Persamaan 6" sheetId="74" r:id="rId23"/>
    <sheet name="Persamaan 7" sheetId="19" r:id="rId24"/>
    <sheet name="Eq7" sheetId="51" r:id="rId25"/>
    <sheet name="Data Persamaan 7" sheetId="69" r:id="rId26"/>
    <sheet name="Persamaan 8" sheetId="20" r:id="rId27"/>
    <sheet name="Eq8" sheetId="52" r:id="rId28"/>
    <sheet name="Data Persamaan 8" sheetId="70" r:id="rId29"/>
    <sheet name="Data Persamaan 9" sheetId="75" r:id="rId30"/>
    <sheet name="Persamaan 10" sheetId="14" r:id="rId31"/>
    <sheet name="Eq10" sheetId="46" r:id="rId32"/>
    <sheet name="Data Persamaan 10" sheetId="71" r:id="rId33"/>
    <sheet name="Persamaan 11" sheetId="15" r:id="rId34"/>
    <sheet name="Eq11" sheetId="47" r:id="rId35"/>
    <sheet name="Data Persamaan 11" sheetId="72" r:id="rId36"/>
    <sheet name="Persamaan 12" sheetId="22" r:id="rId37"/>
    <sheet name="Eq12" sheetId="54" r:id="rId38"/>
    <sheet name="Data Persamaan 12" sheetId="73" r:id="rId39"/>
    <sheet name="Input" sheetId="31" r:id="rId40"/>
    <sheet name="Data Mentah" sheetId="1" r:id="rId41"/>
    <sheet name="Variabel" sheetId="2" r:id="rId42"/>
  </sheets>
  <definedNames>
    <definedName name="_xlnm.Print_Area" localSheetId="40">'Data Mentah'!$BP$1:$CE$49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73" l="1"/>
  <c r="K3" i="73"/>
  <c r="L3" i="73"/>
  <c r="I3" i="73"/>
  <c r="H3" i="73"/>
  <c r="G3" i="73"/>
  <c r="I4" i="73" s="1"/>
  <c r="I6" i="73" s="1"/>
  <c r="H3" i="72"/>
  <c r="I3" i="72"/>
  <c r="J3" i="72"/>
  <c r="K3" i="72"/>
  <c r="G3" i="72"/>
  <c r="F3" i="72"/>
  <c r="K3" i="71"/>
  <c r="L3" i="71"/>
  <c r="M3" i="71"/>
  <c r="J3" i="71"/>
  <c r="I3" i="71"/>
  <c r="H3" i="71"/>
  <c r="G3" i="71"/>
  <c r="M3" i="70"/>
  <c r="M4" i="70" s="1"/>
  <c r="L3" i="70"/>
  <c r="L4" i="70" s="1"/>
  <c r="L6" i="70" s="1"/>
  <c r="L7" i="70" s="1"/>
  <c r="K3" i="70"/>
  <c r="J3" i="70"/>
  <c r="I3" i="70"/>
  <c r="I4" i="70" s="1"/>
  <c r="H3" i="70"/>
  <c r="G3" i="70"/>
  <c r="J3" i="69"/>
  <c r="K3" i="69"/>
  <c r="L3" i="69"/>
  <c r="I3" i="69"/>
  <c r="H3" i="69"/>
  <c r="G3" i="69"/>
  <c r="J4" i="69" s="1"/>
  <c r="J6" i="69" s="1"/>
  <c r="I6" i="68"/>
  <c r="I7" i="68" s="1"/>
  <c r="J6" i="68"/>
  <c r="J7" i="68" s="1"/>
  <c r="I4" i="68"/>
  <c r="J4" i="68"/>
  <c r="I3" i="68"/>
  <c r="J3" i="68"/>
  <c r="K3" i="68"/>
  <c r="K4" i="68" s="1"/>
  <c r="K6" i="68" s="1"/>
  <c r="K7" i="68" s="1"/>
  <c r="L3" i="68"/>
  <c r="L4" i="68" s="1"/>
  <c r="L6" i="68" s="1"/>
  <c r="L7" i="68" s="1"/>
  <c r="M3" i="68"/>
  <c r="M4" i="68" s="1"/>
  <c r="M6" i="68" s="1"/>
  <c r="M7" i="68" s="1"/>
  <c r="N3" i="68"/>
  <c r="H3" i="68"/>
  <c r="H4" i="68" s="1"/>
  <c r="H6" i="68" s="1"/>
  <c r="H7" i="68" s="1"/>
  <c r="G3" i="68"/>
  <c r="L5" i="67"/>
  <c r="K5" i="67"/>
  <c r="M5" i="67"/>
  <c r="J3" i="67"/>
  <c r="K3" i="67"/>
  <c r="L3" i="67"/>
  <c r="M3" i="67"/>
  <c r="I3" i="67"/>
  <c r="H3" i="67"/>
  <c r="G3" i="67"/>
  <c r="M4" i="67" s="1"/>
  <c r="I3" i="66"/>
  <c r="J3" i="66"/>
  <c r="H3" i="66"/>
  <c r="G3" i="66"/>
  <c r="J5" i="67"/>
  <c r="I5" i="67"/>
  <c r="H5" i="67"/>
  <c r="J5" i="66"/>
  <c r="I5" i="66"/>
  <c r="H5" i="66"/>
  <c r="L5" i="65"/>
  <c r="K5" i="65"/>
  <c r="J5" i="65"/>
  <c r="I5" i="65"/>
  <c r="H5" i="65"/>
  <c r="H4" i="65"/>
  <c r="L3" i="65"/>
  <c r="L4" i="65" s="1"/>
  <c r="K3" i="65"/>
  <c r="K4" i="65" s="1"/>
  <c r="K6" i="65" s="1"/>
  <c r="I3" i="65"/>
  <c r="I4" i="65" s="1"/>
  <c r="I6" i="65" s="1"/>
  <c r="J3" i="65"/>
  <c r="J4" i="65" s="1"/>
  <c r="J6" i="65" s="1"/>
  <c r="H3" i="65"/>
  <c r="G3" i="65"/>
  <c r="I3" i="64"/>
  <c r="J3" i="64"/>
  <c r="K3" i="64"/>
  <c r="L3" i="64"/>
  <c r="H3" i="64"/>
  <c r="G3" i="64"/>
  <c r="I4" i="64" s="1"/>
  <c r="L4" i="64" l="1"/>
  <c r="K4" i="64"/>
  <c r="K6" i="64" s="1"/>
  <c r="K7" i="64" s="1"/>
  <c r="J4" i="64"/>
  <c r="H4" i="64"/>
  <c r="H6" i="64" s="1"/>
  <c r="H6" i="65"/>
  <c r="H7" i="65" s="1"/>
  <c r="I4" i="67"/>
  <c r="K4" i="67"/>
  <c r="H4" i="67"/>
  <c r="H6" i="67" s="1"/>
  <c r="H7" i="67" s="1"/>
  <c r="I6" i="67"/>
  <c r="I7" i="67" s="1"/>
  <c r="K6" i="67"/>
  <c r="K7" i="67" s="1"/>
  <c r="J4" i="67"/>
  <c r="J6" i="67" s="1"/>
  <c r="J7" i="67" s="1"/>
  <c r="L4" i="67"/>
  <c r="L6" i="67" s="1"/>
  <c r="L7" i="67" s="1"/>
  <c r="N4" i="68"/>
  <c r="I4" i="69"/>
  <c r="I6" i="69" s="1"/>
  <c r="L4" i="69"/>
  <c r="L6" i="69" s="1"/>
  <c r="K4" i="69"/>
  <c r="K6" i="69" s="1"/>
  <c r="J4" i="70"/>
  <c r="J6" i="70" s="1"/>
  <c r="J7" i="70" s="1"/>
  <c r="K4" i="70"/>
  <c r="K4" i="71"/>
  <c r="K6" i="71" s="1"/>
  <c r="K7" i="71" s="1"/>
  <c r="L4" i="71"/>
  <c r="L6" i="71" s="1"/>
  <c r="L7" i="71" s="1"/>
  <c r="J4" i="71"/>
  <c r="J6" i="71" s="1"/>
  <c r="J7" i="71" s="1"/>
  <c r="I4" i="71"/>
  <c r="I6" i="71" s="1"/>
  <c r="I7" i="71" s="1"/>
  <c r="M4" i="71"/>
  <c r="L4" i="73"/>
  <c r="L6" i="73" s="1"/>
  <c r="K4" i="73"/>
  <c r="K6" i="73" s="1"/>
  <c r="J4" i="73"/>
  <c r="J6" i="73" s="1"/>
  <c r="H4" i="73"/>
  <c r="H6" i="73" s="1"/>
  <c r="I4" i="72"/>
  <c r="K4" i="72"/>
  <c r="G4" i="72"/>
  <c r="G6" i="72" s="1"/>
  <c r="G7" i="72" s="1"/>
  <c r="J4" i="72"/>
  <c r="H4" i="72"/>
  <c r="H4" i="71"/>
  <c r="H6" i="71"/>
  <c r="H7" i="71" s="1"/>
  <c r="K6" i="70"/>
  <c r="K7" i="70" s="1"/>
  <c r="H4" i="70"/>
  <c r="H6" i="70" s="1"/>
  <c r="H7" i="70" s="1"/>
  <c r="H4" i="69"/>
  <c r="H6" i="69" s="1"/>
  <c r="H4" i="66"/>
  <c r="H6" i="66" s="1"/>
  <c r="H7" i="66" s="1"/>
  <c r="I4" i="66"/>
  <c r="I6" i="66" s="1"/>
  <c r="I7" i="66" s="1"/>
  <c r="J4" i="66"/>
  <c r="I6" i="70"/>
  <c r="I7" i="70" s="1"/>
  <c r="I7" i="65"/>
  <c r="J7" i="65"/>
  <c r="K7" i="65"/>
  <c r="I6" i="64"/>
  <c r="I7" i="64" s="1"/>
  <c r="J6" i="64"/>
  <c r="J7" i="64" s="1"/>
  <c r="H7" i="64"/>
  <c r="C47" i="52"/>
  <c r="B48" i="52"/>
  <c r="B47" i="52"/>
  <c r="B49" i="52"/>
  <c r="B50" i="52"/>
  <c r="B51" i="52"/>
  <c r="B52" i="52"/>
  <c r="B3" i="46"/>
  <c r="B4" i="46"/>
  <c r="B5" i="46"/>
  <c r="B6" i="46"/>
  <c r="B7" i="46"/>
  <c r="B8" i="46"/>
  <c r="B9" i="46"/>
  <c r="B10" i="46"/>
  <c r="B11" i="46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2" i="46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51" i="47"/>
  <c r="B52" i="47"/>
  <c r="B2" i="47"/>
  <c r="C3" i="51"/>
  <c r="C4" i="51"/>
  <c r="C5" i="51"/>
  <c r="C6" i="51"/>
  <c r="C7" i="51"/>
  <c r="C8" i="51"/>
  <c r="C9" i="51"/>
  <c r="C10" i="51"/>
  <c r="C11" i="51"/>
  <c r="C12" i="51"/>
  <c r="C13" i="51"/>
  <c r="C14" i="51"/>
  <c r="C15" i="51"/>
  <c r="C16" i="51"/>
  <c r="C17" i="51"/>
  <c r="C18" i="51"/>
  <c r="C19" i="51"/>
  <c r="C20" i="51"/>
  <c r="C21" i="51"/>
  <c r="C22" i="51"/>
  <c r="C23" i="51"/>
  <c r="C24" i="51"/>
  <c r="C25" i="51"/>
  <c r="C26" i="51"/>
  <c r="C27" i="51"/>
  <c r="C28" i="51"/>
  <c r="C29" i="51"/>
  <c r="C30" i="51"/>
  <c r="C31" i="51"/>
  <c r="C32" i="51"/>
  <c r="C33" i="51"/>
  <c r="C34" i="51"/>
  <c r="C35" i="51"/>
  <c r="C36" i="51"/>
  <c r="C37" i="51"/>
  <c r="C38" i="51"/>
  <c r="C39" i="51"/>
  <c r="C40" i="51"/>
  <c r="C41" i="51"/>
  <c r="C42" i="51"/>
  <c r="C43" i="51"/>
  <c r="C44" i="51"/>
  <c r="C45" i="51"/>
  <c r="C46" i="51"/>
  <c r="C47" i="51"/>
  <c r="C2" i="51"/>
  <c r="B3" i="51"/>
  <c r="B4" i="51"/>
  <c r="B5" i="51"/>
  <c r="B6" i="51"/>
  <c r="B7" i="51"/>
  <c r="B8" i="51"/>
  <c r="B9" i="51"/>
  <c r="B10" i="51"/>
  <c r="B11" i="51"/>
  <c r="B12" i="51"/>
  <c r="B13" i="51"/>
  <c r="B14" i="51"/>
  <c r="B15" i="51"/>
  <c r="B16" i="51"/>
  <c r="B17" i="51"/>
  <c r="B18" i="51"/>
  <c r="B19" i="51"/>
  <c r="B20" i="51"/>
  <c r="B21" i="51"/>
  <c r="B22" i="51"/>
  <c r="B23" i="51"/>
  <c r="B24" i="51"/>
  <c r="B25" i="51"/>
  <c r="B26" i="51"/>
  <c r="B27" i="51"/>
  <c r="B28" i="51"/>
  <c r="B29" i="51"/>
  <c r="B30" i="51"/>
  <c r="B31" i="51"/>
  <c r="B32" i="51"/>
  <c r="B33" i="51"/>
  <c r="B34" i="51"/>
  <c r="B35" i="51"/>
  <c r="B36" i="51"/>
  <c r="B37" i="51"/>
  <c r="B38" i="51"/>
  <c r="B39" i="51"/>
  <c r="B40" i="51"/>
  <c r="B41" i="51"/>
  <c r="B42" i="51"/>
  <c r="B43" i="51"/>
  <c r="B44" i="51"/>
  <c r="B45" i="51"/>
  <c r="B46" i="51"/>
  <c r="B47" i="51"/>
  <c r="B48" i="51"/>
  <c r="B49" i="51"/>
  <c r="B50" i="51"/>
  <c r="B51" i="51"/>
  <c r="B52" i="51"/>
  <c r="B2" i="51"/>
  <c r="B3" i="54"/>
  <c r="B4" i="54"/>
  <c r="B5" i="54"/>
  <c r="B6" i="54"/>
  <c r="B7" i="54"/>
  <c r="B8" i="54"/>
  <c r="B9" i="54"/>
  <c r="B10" i="54"/>
  <c r="B11" i="54"/>
  <c r="B12" i="54"/>
  <c r="B13" i="54"/>
  <c r="B14" i="54"/>
  <c r="B15" i="54"/>
  <c r="B16" i="54"/>
  <c r="B17" i="54"/>
  <c r="B18" i="54"/>
  <c r="B19" i="54"/>
  <c r="B20" i="54"/>
  <c r="B21" i="54"/>
  <c r="B22" i="54"/>
  <c r="B23" i="54"/>
  <c r="B24" i="54"/>
  <c r="B25" i="54"/>
  <c r="B26" i="54"/>
  <c r="B27" i="54"/>
  <c r="B28" i="54"/>
  <c r="B29" i="54"/>
  <c r="B30" i="54"/>
  <c r="B31" i="54"/>
  <c r="B32" i="54"/>
  <c r="B33" i="54"/>
  <c r="B34" i="54"/>
  <c r="B35" i="54"/>
  <c r="B36" i="54"/>
  <c r="B37" i="54"/>
  <c r="B38" i="54"/>
  <c r="B39" i="54"/>
  <c r="B40" i="54"/>
  <c r="B41" i="54"/>
  <c r="B42" i="54"/>
  <c r="B43" i="54"/>
  <c r="B44" i="54"/>
  <c r="B45" i="54"/>
  <c r="B46" i="54"/>
  <c r="B47" i="54"/>
  <c r="B48" i="54"/>
  <c r="B49" i="54"/>
  <c r="B50" i="54"/>
  <c r="B51" i="54"/>
  <c r="B52" i="54"/>
  <c r="B2" i="54"/>
  <c r="B48" i="56"/>
  <c r="B49" i="56"/>
  <c r="B50" i="56"/>
  <c r="B51" i="56"/>
  <c r="B52" i="56"/>
  <c r="B48" i="57"/>
  <c r="B49" i="57"/>
  <c r="B50" i="57"/>
  <c r="B51" i="57"/>
  <c r="B52" i="57"/>
  <c r="C3" i="60"/>
  <c r="C4" i="60"/>
  <c r="C5" i="60"/>
  <c r="C6" i="60"/>
  <c r="C7" i="60"/>
  <c r="C8" i="60"/>
  <c r="C9" i="60"/>
  <c r="C10" i="60"/>
  <c r="C11" i="60"/>
  <c r="C12" i="60"/>
  <c r="C13" i="60"/>
  <c r="C14" i="60"/>
  <c r="C15" i="60"/>
  <c r="C16" i="60"/>
  <c r="C17" i="60"/>
  <c r="C18" i="60"/>
  <c r="C19" i="60"/>
  <c r="C20" i="60"/>
  <c r="C21" i="60"/>
  <c r="C22" i="60"/>
  <c r="C23" i="60"/>
  <c r="C24" i="60"/>
  <c r="C25" i="60"/>
  <c r="C26" i="60"/>
  <c r="C27" i="60"/>
  <c r="C28" i="60"/>
  <c r="C29" i="60"/>
  <c r="C30" i="60"/>
  <c r="C31" i="60"/>
  <c r="C32" i="60"/>
  <c r="C33" i="60"/>
  <c r="C34" i="60"/>
  <c r="C35" i="60"/>
  <c r="C36" i="60"/>
  <c r="C37" i="60"/>
  <c r="C38" i="60"/>
  <c r="C39" i="60"/>
  <c r="C40" i="60"/>
  <c r="C41" i="60"/>
  <c r="C42" i="60"/>
  <c r="C43" i="60"/>
  <c r="C44" i="60"/>
  <c r="C45" i="60"/>
  <c r="C46" i="60"/>
  <c r="C47" i="60"/>
  <c r="C2" i="60"/>
  <c r="B3" i="60"/>
  <c r="B4" i="60"/>
  <c r="B5" i="60"/>
  <c r="B6" i="60"/>
  <c r="B7" i="60"/>
  <c r="B8" i="60"/>
  <c r="B9" i="60"/>
  <c r="B10" i="60"/>
  <c r="B11" i="60"/>
  <c r="B12" i="60"/>
  <c r="B13" i="60"/>
  <c r="B14" i="60"/>
  <c r="B15" i="60"/>
  <c r="B16" i="60"/>
  <c r="B17" i="60"/>
  <c r="B18" i="60"/>
  <c r="B19" i="60"/>
  <c r="B20" i="60"/>
  <c r="B21" i="60"/>
  <c r="B22" i="60"/>
  <c r="B23" i="60"/>
  <c r="B24" i="60"/>
  <c r="B25" i="60"/>
  <c r="B26" i="60"/>
  <c r="B27" i="60"/>
  <c r="B28" i="60"/>
  <c r="B29" i="60"/>
  <c r="B30" i="60"/>
  <c r="B31" i="60"/>
  <c r="B32" i="60"/>
  <c r="B33" i="60"/>
  <c r="B34" i="60"/>
  <c r="B35" i="60"/>
  <c r="B36" i="60"/>
  <c r="B37" i="60"/>
  <c r="B38" i="60"/>
  <c r="B39" i="60"/>
  <c r="B40" i="60"/>
  <c r="B41" i="60"/>
  <c r="B42" i="60"/>
  <c r="B43" i="60"/>
  <c r="B44" i="60"/>
  <c r="B45" i="60"/>
  <c r="B46" i="60"/>
  <c r="B47" i="60"/>
  <c r="B48" i="60"/>
  <c r="B49" i="60"/>
  <c r="B50" i="60"/>
  <c r="B51" i="60"/>
  <c r="B52" i="60"/>
  <c r="B2" i="60"/>
  <c r="C3" i="39"/>
  <c r="C4" i="39"/>
  <c r="C5" i="39"/>
  <c r="C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" i="39"/>
  <c r="B3" i="39"/>
  <c r="B4" i="39"/>
  <c r="B5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7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0" i="39"/>
  <c r="B41" i="39"/>
  <c r="B42" i="39"/>
  <c r="B43" i="39"/>
  <c r="B44" i="39"/>
  <c r="B45" i="39"/>
  <c r="B46" i="39"/>
  <c r="B47" i="39"/>
  <c r="B48" i="39"/>
  <c r="B49" i="39"/>
  <c r="B50" i="39"/>
  <c r="B51" i="39"/>
  <c r="B52" i="39"/>
  <c r="B2" i="39"/>
  <c r="C3" i="38"/>
  <c r="C4" i="38"/>
  <c r="C5" i="38"/>
  <c r="C6" i="38"/>
  <c r="C7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2" i="38"/>
  <c r="B48" i="38"/>
  <c r="B49" i="38"/>
  <c r="B50" i="38"/>
  <c r="B51" i="38"/>
  <c r="B52" i="38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2" i="36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2" i="35"/>
  <c r="C3" i="34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2" i="34"/>
  <c r="B3" i="34"/>
  <c r="B4" i="34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7" i="34"/>
  <c r="B28" i="34"/>
  <c r="B29" i="34"/>
  <c r="B30" i="34"/>
  <c r="B31" i="34"/>
  <c r="B32" i="34"/>
  <c r="B33" i="34"/>
  <c r="B34" i="34"/>
  <c r="B35" i="34"/>
  <c r="B36" i="34"/>
  <c r="B37" i="34"/>
  <c r="B38" i="34"/>
  <c r="B39" i="34"/>
  <c r="B40" i="34"/>
  <c r="B41" i="34"/>
  <c r="B42" i="34"/>
  <c r="B43" i="34"/>
  <c r="B44" i="34"/>
  <c r="B45" i="34"/>
  <c r="B46" i="34"/>
  <c r="B47" i="34"/>
  <c r="B48" i="34"/>
  <c r="B49" i="34"/>
  <c r="B50" i="34"/>
  <c r="B51" i="34"/>
  <c r="B52" i="34"/>
  <c r="B2" i="34"/>
  <c r="J6" i="72" l="1"/>
  <c r="J7" i="72" s="1"/>
  <c r="I6" i="72"/>
  <c r="I7" i="72" s="1"/>
  <c r="H6" i="72"/>
  <c r="H7" i="72" s="1"/>
  <c r="B2" i="57"/>
  <c r="B3" i="57"/>
  <c r="B5" i="57"/>
  <c r="B11" i="57"/>
  <c r="B12" i="57"/>
  <c r="B14" i="57"/>
  <c r="B16" i="57"/>
  <c r="B18" i="57"/>
  <c r="B20" i="57"/>
  <c r="B22" i="57"/>
  <c r="B24" i="57"/>
  <c r="B26" i="57"/>
  <c r="B28" i="57"/>
  <c r="B30" i="57"/>
  <c r="B32" i="57"/>
  <c r="B34" i="57"/>
  <c r="B36" i="57"/>
  <c r="B38" i="57"/>
  <c r="B40" i="57"/>
  <c r="B42" i="57"/>
  <c r="B44" i="57"/>
  <c r="B46" i="57"/>
  <c r="B41" i="57" l="1"/>
  <c r="B35" i="57"/>
  <c r="B33" i="57"/>
  <c r="B27" i="57"/>
  <c r="B25" i="57"/>
  <c r="B21" i="57"/>
  <c r="B4" i="57"/>
  <c r="B9" i="57"/>
  <c r="B7" i="57"/>
  <c r="B39" i="57"/>
  <c r="B17" i="57"/>
  <c r="B15" i="57"/>
  <c r="B47" i="57"/>
  <c r="B29" i="57"/>
  <c r="B45" i="57"/>
  <c r="B43" i="57"/>
  <c r="B37" i="57"/>
  <c r="B31" i="57"/>
  <c r="B23" i="57"/>
  <c r="B19" i="57"/>
  <c r="B13" i="57"/>
  <c r="B10" i="57"/>
  <c r="B8" i="57"/>
  <c r="B6" i="57"/>
  <c r="B23" i="56"/>
  <c r="B24" i="56"/>
  <c r="B25" i="56"/>
  <c r="B27" i="56"/>
  <c r="B29" i="56"/>
  <c r="B31" i="56"/>
  <c r="B32" i="56"/>
  <c r="B33" i="56"/>
  <c r="B35" i="56"/>
  <c r="B37" i="56"/>
  <c r="B39" i="56"/>
  <c r="B40" i="56"/>
  <c r="B41" i="56"/>
  <c r="B43" i="56"/>
  <c r="B45" i="56"/>
  <c r="B3" i="56"/>
  <c r="B4" i="56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" i="56"/>
  <c r="B44" i="56" l="1"/>
  <c r="B36" i="56"/>
  <c r="B28" i="56"/>
  <c r="B26" i="56"/>
  <c r="B42" i="56"/>
  <c r="B34" i="56"/>
  <c r="B47" i="56"/>
  <c r="B46" i="56"/>
  <c r="B38" i="56"/>
  <c r="B30" i="56"/>
  <c r="B24" i="52"/>
  <c r="B26" i="52"/>
  <c r="B28" i="52"/>
  <c r="B30" i="52"/>
  <c r="B32" i="52"/>
  <c r="B34" i="52"/>
  <c r="B36" i="52"/>
  <c r="B38" i="52"/>
  <c r="B40" i="52"/>
  <c r="B42" i="52"/>
  <c r="B44" i="52"/>
  <c r="B46" i="52"/>
  <c r="B6" i="52"/>
  <c r="B10" i="52"/>
  <c r="B14" i="52"/>
  <c r="B18" i="52"/>
  <c r="B22" i="52"/>
  <c r="B2" i="52"/>
  <c r="B16" i="52" l="1"/>
  <c r="B43" i="52"/>
  <c r="B8" i="52"/>
  <c r="B45" i="52"/>
  <c r="B12" i="52"/>
  <c r="B20" i="52"/>
  <c r="B4" i="52"/>
  <c r="B47" i="38" l="1"/>
  <c r="B2" i="38"/>
  <c r="B40" i="38" l="1"/>
  <c r="B32" i="38"/>
  <c r="B16" i="38"/>
  <c r="B31" i="38"/>
  <c r="B46" i="38"/>
  <c r="B14" i="38"/>
  <c r="B45" i="38"/>
  <c r="B37" i="38"/>
  <c r="B29" i="38"/>
  <c r="B21" i="38"/>
  <c r="B13" i="38"/>
  <c r="B5" i="38"/>
  <c r="B24" i="38"/>
  <c r="B39" i="38"/>
  <c r="B7" i="38"/>
  <c r="B30" i="38"/>
  <c r="B20" i="38"/>
  <c r="B43" i="38"/>
  <c r="B35" i="38"/>
  <c r="B27" i="38"/>
  <c r="B19" i="38"/>
  <c r="B11" i="38"/>
  <c r="B3" i="38"/>
  <c r="B8" i="38"/>
  <c r="B15" i="38"/>
  <c r="B22" i="38"/>
  <c r="B36" i="38"/>
  <c r="B28" i="38"/>
  <c r="B4" i="38"/>
  <c r="B42" i="38"/>
  <c r="B34" i="38"/>
  <c r="B26" i="38"/>
  <c r="B18" i="38"/>
  <c r="B10" i="38"/>
  <c r="B23" i="38"/>
  <c r="B38" i="38"/>
  <c r="B6" i="38"/>
  <c r="B44" i="38"/>
  <c r="B12" i="38"/>
  <c r="B41" i="38"/>
  <c r="B33" i="38"/>
  <c r="B25" i="38"/>
  <c r="B17" i="38"/>
  <c r="B9" i="38"/>
  <c r="C44" i="47" l="1"/>
  <c r="C32" i="56"/>
  <c r="C35" i="56"/>
  <c r="C36" i="56"/>
  <c r="C23" i="56"/>
  <c r="C26" i="56"/>
  <c r="C25" i="56"/>
  <c r="C27" i="56"/>
  <c r="C42" i="56"/>
  <c r="C28" i="56"/>
  <c r="C40" i="56"/>
  <c r="C44" i="56"/>
  <c r="C30" i="56"/>
  <c r="C24" i="56"/>
  <c r="C34" i="56"/>
  <c r="C47" i="46"/>
  <c r="C29" i="56"/>
  <c r="C21" i="52"/>
  <c r="C19" i="52"/>
  <c r="C17" i="52"/>
  <c r="C15" i="52"/>
  <c r="C13" i="52"/>
  <c r="C11" i="52"/>
  <c r="C9" i="52"/>
  <c r="C7" i="52"/>
  <c r="C5" i="52"/>
  <c r="C46" i="46"/>
  <c r="C39" i="52"/>
  <c r="C35" i="52"/>
  <c r="C33" i="52"/>
  <c r="C37" i="52"/>
  <c r="C31" i="52"/>
  <c r="C12" i="47" l="1"/>
  <c r="C6" i="47"/>
  <c r="C47" i="47"/>
  <c r="C14" i="47"/>
  <c r="C46" i="47"/>
  <c r="C16" i="47"/>
  <c r="C36" i="47"/>
  <c r="C42" i="47"/>
  <c r="C10" i="47"/>
  <c r="C22" i="47"/>
  <c r="C8" i="47"/>
  <c r="C43" i="47"/>
  <c r="C45" i="47"/>
  <c r="C18" i="47"/>
  <c r="C38" i="47"/>
  <c r="C28" i="47"/>
  <c r="C32" i="47"/>
  <c r="C4" i="47"/>
  <c r="C30" i="47"/>
  <c r="C34" i="47"/>
  <c r="C40" i="47"/>
  <c r="C26" i="47"/>
  <c r="C20" i="47"/>
  <c r="C24" i="47"/>
  <c r="C44" i="57"/>
  <c r="C3" i="46"/>
  <c r="C33" i="46"/>
  <c r="C6" i="46"/>
  <c r="C29" i="46"/>
  <c r="C37" i="46"/>
  <c r="C5" i="46"/>
  <c r="C35" i="46"/>
  <c r="C19" i="46"/>
  <c r="C31" i="46"/>
  <c r="C20" i="46"/>
  <c r="C15" i="46"/>
  <c r="C44" i="46"/>
  <c r="C33" i="56"/>
  <c r="C14" i="46"/>
  <c r="C24" i="46"/>
  <c r="C10" i="46"/>
  <c r="C46" i="56"/>
  <c r="C38" i="56"/>
  <c r="C27" i="46"/>
  <c r="C11" i="46"/>
  <c r="C34" i="46"/>
  <c r="C12" i="46"/>
  <c r="C18" i="46"/>
  <c r="C23" i="46"/>
  <c r="C7" i="46"/>
  <c r="C30" i="46"/>
  <c r="C45" i="46"/>
  <c r="C9" i="46"/>
  <c r="C43" i="56"/>
  <c r="C47" i="56"/>
  <c r="C25" i="46"/>
  <c r="C36" i="46"/>
  <c r="C43" i="46"/>
  <c r="C45" i="56"/>
  <c r="C39" i="56"/>
  <c r="C39" i="46"/>
  <c r="C41" i="56"/>
  <c r="C26" i="46"/>
  <c r="C21" i="46"/>
  <c r="C22" i="46"/>
  <c r="C16" i="46"/>
  <c r="C31" i="56"/>
  <c r="C13" i="46"/>
  <c r="C28" i="46"/>
  <c r="C42" i="46"/>
  <c r="C40" i="46"/>
  <c r="C41" i="46"/>
  <c r="C17" i="46"/>
  <c r="C8" i="46"/>
  <c r="C32" i="46"/>
  <c r="C37" i="56"/>
  <c r="C38" i="57"/>
  <c r="C46" i="57"/>
  <c r="C27" i="57"/>
  <c r="C26" i="57"/>
  <c r="C47" i="57"/>
  <c r="C28" i="57"/>
  <c r="C33" i="57"/>
  <c r="C34" i="57"/>
  <c r="C37" i="57"/>
  <c r="C41" i="57"/>
  <c r="C30" i="57"/>
  <c r="C42" i="57"/>
  <c r="C25" i="57"/>
  <c r="C40" i="57"/>
  <c r="C23" i="57"/>
  <c r="C45" i="57"/>
  <c r="C39" i="57"/>
  <c r="C24" i="57"/>
  <c r="C35" i="57"/>
  <c r="C29" i="57"/>
  <c r="C36" i="57"/>
  <c r="C31" i="57"/>
  <c r="C43" i="57"/>
  <c r="C32" i="57"/>
  <c r="C36" i="52"/>
  <c r="C6" i="52"/>
  <c r="C28" i="52"/>
  <c r="C10" i="52"/>
  <c r="C12" i="52"/>
  <c r="C40" i="52"/>
  <c r="C30" i="52"/>
  <c r="C46" i="52"/>
  <c r="C38" i="52"/>
  <c r="C14" i="52"/>
  <c r="C16" i="52"/>
  <c r="C18" i="52"/>
  <c r="C20" i="52"/>
  <c r="C22" i="52"/>
  <c r="C8" i="52"/>
  <c r="C23" i="52"/>
  <c r="C29" i="52"/>
  <c r="C25" i="52"/>
  <c r="C41" i="52"/>
  <c r="C27" i="52"/>
  <c r="C38" i="46" l="1"/>
  <c r="C4" i="46"/>
  <c r="C44" i="54"/>
  <c r="C46" i="36"/>
  <c r="C47" i="54"/>
  <c r="C26" i="52"/>
  <c r="C34" i="52"/>
  <c r="C32" i="52"/>
  <c r="C24" i="52"/>
  <c r="C44" i="52"/>
  <c r="C43" i="52"/>
  <c r="C45" i="52"/>
  <c r="C42" i="52"/>
  <c r="C46" i="35" l="1"/>
  <c r="C46" i="54"/>
  <c r="C45" i="54"/>
  <c r="B3" i="52"/>
  <c r="B5" i="52"/>
  <c r="B7" i="52"/>
  <c r="B9" i="52"/>
  <c r="B11" i="52"/>
  <c r="B13" i="52"/>
  <c r="B15" i="52"/>
  <c r="B17" i="52"/>
  <c r="B19" i="52"/>
  <c r="B21" i="52"/>
  <c r="B23" i="52"/>
  <c r="B25" i="52"/>
  <c r="B27" i="52"/>
  <c r="B29" i="52"/>
  <c r="B31" i="52"/>
  <c r="B33" i="52"/>
  <c r="B35" i="52"/>
  <c r="B37" i="52"/>
  <c r="B39" i="52"/>
  <c r="B41" i="52"/>
  <c r="C9" i="47" l="1"/>
  <c r="C3" i="47"/>
  <c r="C7" i="47"/>
  <c r="C11" i="47"/>
  <c r="C19" i="47"/>
  <c r="C13" i="47"/>
  <c r="C17" i="47"/>
  <c r="C21" i="47"/>
  <c r="C5" i="47"/>
  <c r="C15" i="47"/>
  <c r="C26" i="54"/>
  <c r="C47" i="36"/>
  <c r="C36" i="54"/>
  <c r="C44" i="35"/>
  <c r="C45" i="35"/>
  <c r="C45" i="36"/>
  <c r="C47" i="35"/>
  <c r="C44" i="36"/>
  <c r="C37" i="47" l="1"/>
  <c r="C33" i="47"/>
  <c r="C31" i="47"/>
  <c r="C41" i="47"/>
  <c r="C29" i="47"/>
  <c r="C35" i="47"/>
  <c r="C25" i="47"/>
  <c r="C39" i="47"/>
  <c r="C27" i="47"/>
  <c r="C23" i="47"/>
  <c r="C25" i="54"/>
  <c r="C40" i="54"/>
  <c r="C32" i="54"/>
  <c r="C38" i="54"/>
  <c r="C35" i="54"/>
  <c r="C37" i="54"/>
  <c r="C23" i="54"/>
  <c r="C33" i="54"/>
  <c r="C28" i="54"/>
  <c r="C31" i="54"/>
  <c r="C24" i="54"/>
  <c r="C30" i="54"/>
  <c r="C39" i="54"/>
  <c r="C42" i="54"/>
  <c r="C27" i="54"/>
  <c r="C29" i="54"/>
  <c r="C34" i="54"/>
  <c r="C12" i="36" l="1"/>
  <c r="C12" i="35"/>
  <c r="C36" i="35"/>
  <c r="C31" i="35"/>
  <c r="C15" i="35"/>
  <c r="C7" i="35"/>
  <c r="C6" i="36"/>
  <c r="C14" i="36"/>
  <c r="C22" i="36"/>
  <c r="C30" i="36"/>
  <c r="C38" i="36"/>
  <c r="C37" i="36"/>
  <c r="C29" i="36"/>
  <c r="C21" i="36"/>
  <c r="C13" i="36"/>
  <c r="C5" i="36"/>
  <c r="C6" i="35"/>
  <c r="C14" i="35"/>
  <c r="C22" i="35"/>
  <c r="C30" i="35"/>
  <c r="C38" i="35"/>
  <c r="C37" i="35"/>
  <c r="C29" i="35"/>
  <c r="C21" i="35"/>
  <c r="C13" i="35"/>
  <c r="C5" i="35"/>
  <c r="C8" i="36"/>
  <c r="C16" i="36"/>
  <c r="C24" i="36"/>
  <c r="C32" i="36"/>
  <c r="C40" i="36"/>
  <c r="C35" i="36"/>
  <c r="C27" i="36"/>
  <c r="C19" i="36"/>
  <c r="C11" i="36"/>
  <c r="C3" i="36"/>
  <c r="C28" i="36"/>
  <c r="C20" i="35"/>
  <c r="C39" i="35"/>
  <c r="C8" i="35"/>
  <c r="C24" i="35"/>
  <c r="C32" i="35"/>
  <c r="C35" i="35"/>
  <c r="C27" i="35"/>
  <c r="C19" i="35"/>
  <c r="C3" i="35"/>
  <c r="C43" i="54"/>
  <c r="C10" i="36"/>
  <c r="C18" i="36"/>
  <c r="C34" i="36"/>
  <c r="C33" i="36"/>
  <c r="C9" i="36"/>
  <c r="C20" i="36"/>
  <c r="C4" i="35"/>
  <c r="C28" i="35"/>
  <c r="C23" i="35"/>
  <c r="C16" i="35"/>
  <c r="C40" i="35"/>
  <c r="C11" i="35"/>
  <c r="C26" i="36"/>
  <c r="C42" i="36"/>
  <c r="C25" i="36"/>
  <c r="C17" i="36"/>
  <c r="C41" i="54"/>
  <c r="C10" i="35"/>
  <c r="C18" i="35"/>
  <c r="C26" i="35"/>
  <c r="C34" i="35"/>
  <c r="C42" i="35"/>
  <c r="C33" i="35"/>
  <c r="C25" i="35"/>
  <c r="C17" i="35"/>
  <c r="C9" i="35"/>
  <c r="C4" i="36"/>
  <c r="C36" i="36"/>
  <c r="C39" i="36"/>
  <c r="C31" i="36"/>
  <c r="C23" i="36"/>
  <c r="C15" i="36"/>
  <c r="C7" i="36"/>
  <c r="C43" i="36" l="1"/>
  <c r="C43" i="35"/>
  <c r="C41" i="36"/>
  <c r="C41" i="35"/>
  <c r="C2" i="47" l="1"/>
  <c r="C2" i="56" l="1"/>
  <c r="C2" i="46"/>
  <c r="C6" i="54" l="1"/>
  <c r="C14" i="54"/>
  <c r="C5" i="54"/>
  <c r="C10" i="54"/>
  <c r="C15" i="54"/>
  <c r="C11" i="54"/>
  <c r="C2" i="54"/>
  <c r="C7" i="54"/>
  <c r="C22" i="54"/>
  <c r="C9" i="54"/>
  <c r="C21" i="54"/>
  <c r="C3" i="54"/>
  <c r="C17" i="54"/>
  <c r="C18" i="54"/>
  <c r="C19" i="54"/>
  <c r="C4" i="54"/>
  <c r="C20" i="54"/>
  <c r="C13" i="54"/>
  <c r="C12" i="54"/>
  <c r="C16" i="54"/>
  <c r="C8" i="54"/>
  <c r="C20" i="57"/>
  <c r="C2" i="57"/>
  <c r="C17" i="57"/>
  <c r="C21" i="57"/>
  <c r="C10" i="57"/>
  <c r="C4" i="57"/>
  <c r="C6" i="57"/>
  <c r="C11" i="57"/>
  <c r="C18" i="57"/>
  <c r="C14" i="57"/>
  <c r="C8" i="57"/>
  <c r="C7" i="57"/>
  <c r="C15" i="57"/>
  <c r="C22" i="57"/>
  <c r="C16" i="57"/>
  <c r="C12" i="57"/>
  <c r="C9" i="57"/>
  <c r="C13" i="57"/>
  <c r="C5" i="57"/>
  <c r="C19" i="57"/>
  <c r="C3" i="57"/>
  <c r="C17" i="56" l="1"/>
  <c r="C10" i="56"/>
  <c r="C21" i="56"/>
  <c r="C13" i="56"/>
  <c r="C15" i="56"/>
  <c r="C6" i="56"/>
  <c r="C18" i="56"/>
  <c r="C8" i="56"/>
  <c r="C16" i="56"/>
  <c r="C9" i="56"/>
  <c r="C12" i="56"/>
  <c r="C14" i="56"/>
  <c r="C7" i="56"/>
  <c r="C3" i="56"/>
  <c r="C11" i="56"/>
  <c r="C5" i="56"/>
  <c r="C22" i="56"/>
  <c r="C4" i="56"/>
  <c r="C19" i="56"/>
  <c r="C20" i="56"/>
  <c r="C2" i="35"/>
  <c r="C2" i="36"/>
  <c r="C3" i="52" l="1"/>
  <c r="C4" i="52"/>
  <c r="C2" i="52" l="1"/>
</calcChain>
</file>

<file path=xl/sharedStrings.xml><?xml version="1.0" encoding="utf-8"?>
<sst xmlns="http://schemas.openxmlformats.org/spreadsheetml/2006/main" count="1473" uniqueCount="646">
  <si>
    <t>Tahun</t>
  </si>
  <si>
    <t xml:space="preserve">Proporsi areal sawah intensifikasi </t>
  </si>
  <si>
    <t xml:space="preserve">Produksi padi sawah </t>
  </si>
  <si>
    <t>Total produksi padi nasional</t>
  </si>
  <si>
    <t>Faktor konversi dari padi/gabah menajdi beras</t>
  </si>
  <si>
    <t>Harga eceran beras di pasar domestik</t>
  </si>
  <si>
    <t>Proporsi beras untuk benih, penggunaan lain dan susut</t>
  </si>
  <si>
    <t>Jumlah pelepasan stok beras Bulog untuk operasi pasar</t>
  </si>
  <si>
    <t>Jumlah pengadaan beras dari dalam negeri untuk stok Bulog</t>
  </si>
  <si>
    <t>Tingkat bunga riil pinjaman Bulog</t>
  </si>
  <si>
    <t>Marjin pemasaran beras domestik pada tahun t</t>
  </si>
  <si>
    <t>Total penawaran beras di pasar domestik</t>
  </si>
  <si>
    <t xml:space="preserve">Total produksi beras nasional </t>
  </si>
  <si>
    <t>Luas areal padi sawah</t>
  </si>
  <si>
    <t>Harga gabah di tingkat petani</t>
  </si>
  <si>
    <t>Luas areal sawah beririgasi</t>
  </si>
  <si>
    <t xml:space="preserve">Harga pupuk </t>
  </si>
  <si>
    <t xml:space="preserve">Jumlah curah hujan </t>
  </si>
  <si>
    <t xml:space="preserve">Produktivitas padi </t>
  </si>
  <si>
    <t xml:space="preserve">Harga pupuk kombinasi </t>
  </si>
  <si>
    <t xml:space="preserve">Penggunaan pupuk </t>
  </si>
  <si>
    <t xml:space="preserve">Produksi padi ladang </t>
  </si>
  <si>
    <t xml:space="preserve">Luas areal padi ladang </t>
  </si>
  <si>
    <t xml:space="preserve">Produktifitas padi sawah </t>
  </si>
  <si>
    <t xml:space="preserve">Produktifitas padi lading </t>
  </si>
  <si>
    <t>Total produksi beras nasional</t>
  </si>
  <si>
    <t>Jumlah impor beras Indonesia</t>
  </si>
  <si>
    <t xml:space="preserve">Harga eceran beras di pasar domestik </t>
  </si>
  <si>
    <t>Jumlah stok beras nasional akhir tahun di Bulog</t>
  </si>
  <si>
    <t>Jumlah konsumsi beras untuk pangan</t>
  </si>
  <si>
    <t>Harga beras tingkat konsumen domestik secara nasional</t>
  </si>
  <si>
    <t>Pendapatan riil per kapita penduduk Indonesia</t>
  </si>
  <si>
    <t>Jumlah penduduk Indonesia</t>
  </si>
  <si>
    <t>Rasio penduduk perkotaan dan pedesaan</t>
  </si>
  <si>
    <t>Nilai intervensi harga eceran beras di pasar domestik</t>
  </si>
  <si>
    <t>Indeks harga pedagang besar Indonesia</t>
  </si>
  <si>
    <t>Nilai marjin pemasaran beras</t>
  </si>
  <si>
    <t>Pendapatan usahatani padi sawah</t>
  </si>
  <si>
    <t>Biaya upah tenaga kerja usahatani</t>
  </si>
  <si>
    <t>Biaya pestisida untuk usahatani</t>
  </si>
  <si>
    <t>Biaya lainnya untuk usahatani</t>
  </si>
  <si>
    <t>Harga impor beras Indonesia</t>
  </si>
  <si>
    <t>Nilai tukar rupiah terhadap Dollar USA</t>
  </si>
  <si>
    <t>Nilai akses pangan</t>
  </si>
  <si>
    <t>Preferensi terhadap jenis pangan dan pendidikan</t>
  </si>
  <si>
    <t>Kondisi jumlah kasus konflik sosial-politik ditambah fenomena bencana</t>
  </si>
  <si>
    <t>Kesempatan kerja</t>
  </si>
  <si>
    <t>Pendapatan masyarakat perkapita</t>
  </si>
  <si>
    <t>Panjang jalan (provinsi ditambah kabupaten/kota)</t>
  </si>
  <si>
    <t>Panjang infrastruktur irigasi</t>
  </si>
  <si>
    <t>Nilai penyerapan pangan</t>
  </si>
  <si>
    <t>Total konsumsi energi</t>
  </si>
  <si>
    <t>Kecukupan Gizi</t>
  </si>
  <si>
    <t>Jumlah fasilitas kesehatan</t>
  </si>
  <si>
    <t>Sanitas dan akses ketersediaan air bersih</t>
  </si>
  <si>
    <t>Nilai pengetahuan Ibu rumah tangga tentang pola makan dan pola asuh kesehatan</t>
  </si>
  <si>
    <t>Sanitas dan akses ketersediaan air bersih (Jumlah sanitasi+jumlah PDAM)</t>
  </si>
  <si>
    <t>Faktor konversi dari padi/gabah menajdi beras (persentase Penyusutan dari pemanenan, perontokan, pengangkutan, penjemuran, penggilingan, penyimpanan)</t>
  </si>
  <si>
    <t>Total produksi beras nasional (total konversi dari padi ke beras)</t>
  </si>
  <si>
    <t>Proporsi beras untuk benih, penggunaan lain dan susut (ton)</t>
  </si>
  <si>
    <t xml:space="preserve">Produktifitas padi ladang </t>
  </si>
  <si>
    <t>Luas areal sawah beririgasi (Ha)</t>
  </si>
  <si>
    <t>Harga pupuk (HET) (Rata-rata Urea, Za, NPK/Kg)</t>
  </si>
  <si>
    <t>Bencana Alam</t>
  </si>
  <si>
    <t>Konflik Sosial</t>
  </si>
  <si>
    <t>PDAM</t>
  </si>
  <si>
    <t>Y_APSU</t>
  </si>
  <si>
    <t>HGSU</t>
  </si>
  <si>
    <t>HFSU</t>
  </si>
  <si>
    <t>HGSU/HFSU</t>
  </si>
  <si>
    <t>X1_HGSU/HFSU</t>
  </si>
  <si>
    <t>X2_AISU</t>
  </si>
  <si>
    <t>X3_CHSU</t>
  </si>
  <si>
    <t>X4_YISU</t>
  </si>
  <si>
    <t>X5_APSU_t-1</t>
  </si>
  <si>
    <t>Y_YISU</t>
  </si>
  <si>
    <t>X3_JPSU</t>
  </si>
  <si>
    <t>X4_YISU_t-1</t>
  </si>
  <si>
    <t>Y_JPSU</t>
  </si>
  <si>
    <t>X2_ATSU</t>
  </si>
  <si>
    <t>X3_JPSU_t-1</t>
  </si>
  <si>
    <t>APSU</t>
  </si>
  <si>
    <t>YISU</t>
  </si>
  <si>
    <t>TPSU</t>
  </si>
  <si>
    <t>PSSU</t>
  </si>
  <si>
    <t>PLSU</t>
  </si>
  <si>
    <t>K</t>
  </si>
  <si>
    <t>P</t>
  </si>
  <si>
    <t>Y_STBI</t>
  </si>
  <si>
    <t>X1_HBDI</t>
  </si>
  <si>
    <t>X2_LSBI</t>
  </si>
  <si>
    <t>X3_ASBI</t>
  </si>
  <si>
    <t>X4_IMBI</t>
  </si>
  <si>
    <t>X5_INRG</t>
  </si>
  <si>
    <t>X6_MPBI</t>
  </si>
  <si>
    <t>X7_STBI_t-1</t>
  </si>
  <si>
    <t>HBDI</t>
  </si>
  <si>
    <t>KOBI</t>
  </si>
  <si>
    <t>GDPI</t>
  </si>
  <si>
    <t>POPI</t>
  </si>
  <si>
    <t>RPKD</t>
  </si>
  <si>
    <t>LOGt</t>
  </si>
  <si>
    <t>KOBI-t</t>
  </si>
  <si>
    <t>IHBI</t>
  </si>
  <si>
    <t>HIMI*ECRI</t>
  </si>
  <si>
    <t>TPBI</t>
  </si>
  <si>
    <t>LSBI</t>
  </si>
  <si>
    <t>HBDI-t</t>
  </si>
  <si>
    <t>HESU</t>
  </si>
  <si>
    <t>T</t>
  </si>
  <si>
    <t>HESU-t</t>
  </si>
  <si>
    <t>MPBI</t>
  </si>
  <si>
    <t>MPSU</t>
  </si>
  <si>
    <t>MPSS</t>
  </si>
  <si>
    <t>HGBI</t>
  </si>
  <si>
    <t>HDGB</t>
  </si>
  <si>
    <t>IHBI*ECRI</t>
  </si>
  <si>
    <t>ECRI</t>
  </si>
  <si>
    <t>TPPI</t>
  </si>
  <si>
    <t>HEPS</t>
  </si>
  <si>
    <t>PSSU+PLSU</t>
  </si>
  <si>
    <t>ASBI/(TPPIt-TPPIt-1)</t>
  </si>
  <si>
    <t>ASBI</t>
  </si>
  <si>
    <t>TPPIt-1</t>
  </si>
  <si>
    <t>HGSUt-1</t>
  </si>
  <si>
    <t>PSSS</t>
  </si>
  <si>
    <t>PLSS</t>
  </si>
  <si>
    <t>HGSS</t>
  </si>
  <si>
    <t>PESU</t>
  </si>
  <si>
    <t>HGSU*YISU</t>
  </si>
  <si>
    <t>JPSU</t>
  </si>
  <si>
    <t>(HFSU*JPSU)/1000</t>
  </si>
  <si>
    <t>BUSU</t>
  </si>
  <si>
    <t>BKSU</t>
  </si>
  <si>
    <t>BLSU</t>
  </si>
  <si>
    <t>PESS</t>
  </si>
  <si>
    <t>EXBI</t>
  </si>
  <si>
    <t>STBI</t>
  </si>
  <si>
    <t>IMBI</t>
  </si>
  <si>
    <t>STBIt-1</t>
  </si>
  <si>
    <t>HIMI</t>
  </si>
  <si>
    <t>INRG</t>
  </si>
  <si>
    <t>IMBIt-1</t>
  </si>
  <si>
    <t>HMBW</t>
  </si>
  <si>
    <t>HIMIt-1</t>
  </si>
  <si>
    <t>ANSU</t>
  </si>
  <si>
    <t>PPSU</t>
  </si>
  <si>
    <t>KBSU</t>
  </si>
  <si>
    <t>KKSU</t>
  </si>
  <si>
    <t>PKSS</t>
  </si>
  <si>
    <t>PJSS</t>
  </si>
  <si>
    <t>ANSUt-1</t>
  </si>
  <si>
    <t>ANSS</t>
  </si>
  <si>
    <t>PYSU</t>
  </si>
  <si>
    <t>KESU</t>
  </si>
  <si>
    <t>AISU</t>
  </si>
  <si>
    <t>CHSU</t>
  </si>
  <si>
    <t>SKSS</t>
  </si>
  <si>
    <t>IBSU</t>
  </si>
  <si>
    <t>PYSUt-1</t>
  </si>
  <si>
    <t>HGSU_HFSU</t>
  </si>
  <si>
    <t>APSUt</t>
  </si>
  <si>
    <t>YISUt</t>
  </si>
  <si>
    <t>ATSU</t>
  </si>
  <si>
    <t>JPSUt</t>
  </si>
  <si>
    <t>TPBSU</t>
  </si>
  <si>
    <t>BSPI</t>
  </si>
  <si>
    <t>STBIt</t>
  </si>
  <si>
    <t>QSBI</t>
  </si>
  <si>
    <t>LOGtahun</t>
  </si>
  <si>
    <t>KOBIt</t>
  </si>
  <si>
    <t>HIMI_ECRI</t>
  </si>
  <si>
    <t>HJGN</t>
  </si>
  <si>
    <t>Harga gabah Beli Indonesia (HEC)</t>
  </si>
  <si>
    <t>harga petani * 107.5%)</t>
  </si>
  <si>
    <t>harga dasar gabah Beli</t>
  </si>
  <si>
    <t>Harga petani *102.5%</t>
  </si>
  <si>
    <t>Total Produksi Padi Indonesia (100 ton</t>
  </si>
  <si>
    <t>TPS+TPD</t>
  </si>
  <si>
    <t>sawah + ladang</t>
  </si>
  <si>
    <t>Harga Beli Gabah Nasional (Rp/Kg)</t>
  </si>
  <si>
    <t>Harga Pokok Produksi Gabah Nasional (Rp/Kg)</t>
  </si>
  <si>
    <t>Harga Eceran Gabah Sumatera</t>
  </si>
  <si>
    <t>Harga gabah di Sumatera (Rp/Kg)</t>
  </si>
  <si>
    <t>HBDIt</t>
  </si>
  <si>
    <t>HESUt</t>
  </si>
  <si>
    <t>HGSUt</t>
  </si>
  <si>
    <t>ANSUt</t>
  </si>
  <si>
    <t>PYSUt</t>
  </si>
  <si>
    <t>Produktivitas padi Sumatera Utara</t>
  </si>
  <si>
    <t>Penggunaan pupuk Sumatera Utara (KG/Ha)</t>
  </si>
  <si>
    <t>Produktivitas padi Sumatera</t>
  </si>
  <si>
    <t>YISS</t>
  </si>
  <si>
    <t>HFSS</t>
  </si>
  <si>
    <t>JPSS</t>
  </si>
  <si>
    <t>BUSS</t>
  </si>
  <si>
    <t>BKSS</t>
  </si>
  <si>
    <t>BLSS</t>
  </si>
  <si>
    <t>PPSS</t>
  </si>
  <si>
    <t>KBSS</t>
  </si>
  <si>
    <t>KKSS</t>
  </si>
  <si>
    <t>ANSSt</t>
  </si>
  <si>
    <t>PYSS</t>
  </si>
  <si>
    <t>KESS</t>
  </si>
  <si>
    <t>AISS</t>
  </si>
  <si>
    <t>CHSS</t>
  </si>
  <si>
    <t>IBSS</t>
  </si>
  <si>
    <t>PYSSt</t>
  </si>
  <si>
    <t>IMBIt</t>
  </si>
  <si>
    <t>IHBI_ECRI</t>
  </si>
  <si>
    <t>PSSU_PLSU</t>
  </si>
  <si>
    <t>ASBI_TPPI</t>
  </si>
  <si>
    <t>PSSS_PLSS</t>
  </si>
  <si>
    <t>HGSU_YISU</t>
  </si>
  <si>
    <t>HFSU_JPSU</t>
  </si>
  <si>
    <t>TPBI_TPBIt</t>
  </si>
  <si>
    <t>QSBI_KOBI</t>
  </si>
  <si>
    <t>TPBI_BSPI</t>
  </si>
  <si>
    <t>KOBI_STBI</t>
  </si>
  <si>
    <t>PJSU</t>
  </si>
  <si>
    <t>APSU  (Luas areal padi sawah di Sumatera Utara )</t>
  </si>
  <si>
    <t>HGSU/HFSU (Harga gabah di tingkat petani Sumatera Utara (Rp/kg) dideflasi dengan indeks harga pedagang besar Indonesia (2010=100 untuk semua pendeflasian)/Harga pupuk kombinasi di Sumatera Utara (Rp/kg) dideflasi dengan indeks harga umum Indonesia</t>
  </si>
  <si>
    <t>AISU (Luas areal sawah beririgasi di Sumatera Utara (1000 ha))</t>
  </si>
  <si>
    <t>CHSU (Jumlah curah hujan rata-rata di Sumatera Utara (mm/tahun))</t>
  </si>
  <si>
    <t>YISU (Produktifitas padi sawah di Sumatera Utara (ton/ha))</t>
  </si>
  <si>
    <t>APSU_t-1 (Luas areal padi sawah di Sumatera Utara (1000 ha) Bedakala satu tahun dari tahun t</t>
  </si>
  <si>
    <t>JPSU(Penggunaan pupuk di Sumatera Utara (Kg/Ha))</t>
  </si>
  <si>
    <t>ATSU ( Proporsi areal sawah intensifikasi di Sumatera Utara (%)</t>
  </si>
  <si>
    <t>jpsu_t-1 (Penggunaan pupuk di Sumatera Utara (Kg/Ha) Bedakala satu tahun dari tahun t</t>
  </si>
  <si>
    <t>PSSU Produksi padi sawah di Sumatera Utara (1000 ton)</t>
  </si>
  <si>
    <t>APSU (Luas areal padi sawah di Sumatera Utara (1000 ha)</t>
  </si>
  <si>
    <t>APSU_YISU (Luas areal padi sawah di Sumatera Utara (1000 ha)*Produktifitas padi sawah di Sumatera Utara (ton/ha)</t>
  </si>
  <si>
    <t>TPSU (Total produksi padi Sumatera Utara (1000 ton)</t>
  </si>
  <si>
    <t>PLSU (Produksi padi ladang di Sumatera Utara (1000 ton)</t>
  </si>
  <si>
    <t>TPBSU (Total produksi beras Sumatera Utara (1000 ton)</t>
  </si>
  <si>
    <t>K(Faktor konversi dari padi/gabah menjadi beras)</t>
  </si>
  <si>
    <t>TPSU(Total produksi padi Sumatera Utara (1000 ton)</t>
  </si>
  <si>
    <t>BSPI (Harga eceran beras di pasar domestik (Rp/kg) dideflasi dengan)</t>
  </si>
  <si>
    <t>P (Proporsi beras untuk benih, penggunaan lain dan susut (%))</t>
  </si>
  <si>
    <t>TPBI (Total produksi beras nasional (1000 ton))</t>
  </si>
  <si>
    <t>STBI(Jumlah stok beras nasional akhir tahun di Bulog (1000 ton)</t>
  </si>
  <si>
    <t>LSBI(Jumlah pelepasan stok beras Bulog untuk operasi pasar (1000 ton)</t>
  </si>
  <si>
    <t>ASBI (Jumlah pengadaan beras dari dalam negeri untuk stok Bulog (1000 ton)</t>
  </si>
  <si>
    <t>IMBI(Jumlah impor beras Indonesia (1000 ton)</t>
  </si>
  <si>
    <t xml:space="preserve">INRG(Tingkat bunga riil pinjaman Bulog (%) yaitu tingkat bunga nominal dikurangi lanju inflasi </t>
  </si>
  <si>
    <t>MPBI(Marjin pemasaran beras domestik pada tahun t (Rp/kg) dideflasi dengan indeks harga pedagang besar Indonesia)</t>
  </si>
  <si>
    <t>STBI_T-1 (Jumlah stok beras nasional akhir tahun di Bulog (1000 ton) Bedakala satu tahun dari tahun t</t>
  </si>
  <si>
    <t>HBDI(Harga beras tingkat konsumen domestik secara nasional (Rp/kg) dideflasi dengan indeks harga pedagang besar Indonesia)</t>
  </si>
  <si>
    <t>QSBI(Total penawaran beras di pasar domestik (1000 ton)</t>
  </si>
  <si>
    <t>TPBI(Total produksi beras nasional (1000 ton)</t>
  </si>
  <si>
    <t>BSPI(Harga eceran beras di pasar domestik (Rp/kg) dideflasi dengan indeks harga pedagang besar Indonesia)</t>
  </si>
  <si>
    <t>EXBI(Jumlah ekspor beras Indonesia(1000 ton)</t>
  </si>
  <si>
    <t>KOBI(Jumlah konsumsi beras untuk pangan (1000 ton)</t>
  </si>
  <si>
    <t>GDPI(Pendapatan riil per kapita penduduk Indonesia (Rp juta/kapita) dengan tahun dasar 1990=100)</t>
  </si>
  <si>
    <t>POPI(Jumlah total penduduk Indonesia (1.000.000 orang)</t>
  </si>
  <si>
    <t>RKPD(Rasio penduduk perkotaan dan pedesaan (orang))</t>
  </si>
  <si>
    <t>KOBI-t(Jumlah konsumsi beras untuk pangan (1000 ton) Bedakala satu tahun dari tahun t</t>
  </si>
  <si>
    <t>HIMI*ECRI (Harga impor beras Indonesia (US $/kg) dideflasi dengan indeks harga pedagang besar Indonesia*Nilai tukar rupiah terhadap dollar USA (Rp/US $) dideflasi dengan rasio indeks harga konsumen Indonesia dan USA)</t>
  </si>
  <si>
    <t>TPBI-TPBI_t (Total produksi beras nasional (1000 ton)-Total produksi beras nasional (1000 ton) Tahun t)</t>
  </si>
  <si>
    <t>IHBI(Nilai intervensi harga eceran beras di pasar domestik (Rp/kg) dideflasi dengan indeks harga pedagang besar Indonesia)</t>
  </si>
  <si>
    <t>QSBI_KOBI(Total penawaran beras di pasar domestik (1000 ton) Jumlah konsumsi beras untuk pangan (1000 ton)</t>
  </si>
  <si>
    <t>HBDI_t Harga beras tingkat konsumen domestik secara nasional (Rp/kg) dideflasi dengan indeks harga pedagang besar Indonesia Tahun t</t>
  </si>
  <si>
    <t>HESU (Harga  eceran beras di wilayah Sumatera Utara (Rp/kg) dideflasi dengan indeks harga pedagang besar Indonesia)</t>
  </si>
  <si>
    <t>HGSU (Harga gabah di tingkat petani Sumatera Utara (Rp/kg) dideflasi dengan indeks harga pedagang besar Indonesia (2010=100 untuk semua pendeflasian)</t>
  </si>
  <si>
    <t>T(Peubah kecenderungan waktu)</t>
  </si>
  <si>
    <t>HESU_T (Harga gabah di tingkat petani Sumatera Utara (Rp/kg) dideflasi dengan indeks harga pedagang besar Indonesia (2010=100 untuk semua pendeflasian) Peubah kecenderungan waktu</t>
  </si>
  <si>
    <t>MPBI (Marjin pemasaran beras domestik pada tahun t (Rp/kg) dideflasi dengan indeks harga pedagang besar Indonesia)</t>
  </si>
  <si>
    <t>MPSU(Nilai marjin pemasaran beras di wilayah Sumatera Utara (Rp/Kg) dideflasi dengan indeks harga pedagang besar Indonesia)</t>
  </si>
  <si>
    <t>MPSS (Nilai marjin pemasaran beras di pulau Sumatera selain Sumatera Utara (Rp/Kg) dideflasi dengan indeks harga pedagang besar Indonesia)</t>
  </si>
  <si>
    <t>HESS (Harga  eceran beras di wilayah Sumatera selain Sumatera Utara (Rp/kg) dideflasi dengan indeks harga pedagang besar Indonesia)</t>
  </si>
  <si>
    <t>HGBI (Harga gabah di tingkat petani secara nasional)</t>
  </si>
  <si>
    <t>MPBI (Marjin Pemasaran Beras Domestik Pada Tahun t (Rp/kg) dideflasi dengan indeks harga pedagang besar Indonesia )</t>
  </si>
  <si>
    <t>PSSU+PLSU (Produksi padi sawah di Sumatera Utara (1000 ton)+ Produksi padi ladang di Sumatera Utara (1000 ton)</t>
  </si>
  <si>
    <t>ASBI/(TPPIt-TPPIt-1 (Jumlah Pengadaan Beras Dari Dalam Negeri Untuk Stok Bulog (1000 ton)</t>
  </si>
  <si>
    <t>T (Peubah kecenderungan waktu)</t>
  </si>
  <si>
    <t>PSSS+PLSS (Produksi padi sawah selain Sumatera Utara (1000 ton)+Produksi padi ladang selain Sumatera Utara (1000 ton)</t>
  </si>
  <si>
    <t>HGSS (Harga gabah di tingkat petani selain Sumatera Utara (Rp/kg) dideflasi dengan indeks harga pedagang besar Indonesia (2010=100 untuk semua pendeflasian)</t>
  </si>
  <si>
    <t>PESU (Pendapatan usahatani padi sawah di Sumatera Utara (Rp 1000/Ha) dideflasi dengan indeks harga pedagang besar Indonesia)</t>
  </si>
  <si>
    <t>BUSU (Biaya upah tenaga kerja usahatani di Sumatera Utara (Rp 1000/Ha) dideflasi dengan indeks harga pedagang besar Indonesia)</t>
  </si>
  <si>
    <t>BKSU (Biaya pestisida untuk usahatani padi di Sumatera Utara (Rp 1000/Ha) dideflasi dengan indeks harga pedagang besar Indonesia)</t>
  </si>
  <si>
    <t>BLSU (Biaya lainnya untuk usahatani padi di Sumatera Utara (Rp 1000/Ha) dideflasi dengan indeks harga pedagang besar Indonesia)</t>
  </si>
  <si>
    <t>PESS (Pendapatan usahatani padi sawah di Sumatera selain Sumatera Utara (Rp 1000/Ha) dideflasi dengan indeks harga pedagang besar Indonesia)</t>
  </si>
  <si>
    <t>YISS (Produktifitas padi sawah selain Sumatera Utara (ton/ha)</t>
  </si>
  <si>
    <t>HFSS (Harga pupuk kombinasi selain Sumatera Utara (Rp/kg) dideflasi dengan indeks harga umum Indonesia</t>
  </si>
  <si>
    <t>JPSS (Penggunaan pupuk selain Sumatera Utara (Kg/Ha)</t>
  </si>
  <si>
    <t>BUSS (Biaya upah tenaga kerja usahatani di Pulau Sumatera selain Sumatera Utara (Rp 1000/Ha) dideflasi dengan indeks harga pedagang besar Indonesia)</t>
  </si>
  <si>
    <t>BKSS (Biaya pestisida untuk usahatani padi di Pulau Sumatera selain Sumatera Utara (Rp 1000/Ha) dideflasi dengan indeks harga pedagang besar Indonesia)</t>
  </si>
  <si>
    <t>BLSS (Biaya lainnya untuk usahatani padi di Pulau Sumatera selain Sumatera Utara (Rp 1000/Ha) dideflasi dengan indeks harga pedagang besar Indonesia)</t>
  </si>
  <si>
    <t>ANSU (Nilai Akses Pangan di Sumatera Utara)</t>
  </si>
  <si>
    <t>PPSU (Preferensi terhadap Jenis Pangan dan Pendidikan di Sumatera Utara)</t>
  </si>
  <si>
    <t>KBSU (Kondisi jumlah kasus konflik sosial-politik ditambah jumlah fenomena bencana alam di Sumatera Utara (jumlah kejadian pertahun)</t>
  </si>
  <si>
    <t>KKSU (Kesempatan Kerja di Sumatera Utara (orang))</t>
  </si>
  <si>
    <t>PKSS (Pendapatan masyarakat perkapita di Pulau Sumatera selain Sumatera Utara (Rp)</t>
  </si>
  <si>
    <t>PJSU (Panjang jalan (provinsi ditambah kabupaten/kota) di Sumatera Utara (km)</t>
  </si>
  <si>
    <t>ANSS (Nilai Akses Pangan di Sumatera Utara di Pulau Sumatera selain Sumatera Utara)</t>
  </si>
  <si>
    <t>PPSS (Preferensi terhadap Jenis Pangan dan Pendidikan di Pulau Sumatera selain Sumatera Utara)</t>
  </si>
  <si>
    <t>KBSS (Kondisi jumlah kasus konflik sosial-politik ditambah jumlah fenomena bencana alam di Pulau Sumatera selain Sumatera Utara(jumlah kejadian pertahun)</t>
  </si>
  <si>
    <t>KKSS (Kesempatan Kerja di Pulau Sumatera selain Sumatera Utara (orang)</t>
  </si>
  <si>
    <t>PKSS (Pendapatan masyarakat perkapita di Pulau Sumatera selain Sumatera Utara (Rp))</t>
  </si>
  <si>
    <t>PJSS (Panjang jalan (provinsi ditambah kabupaten/kota) di Pulau Sumatera selain Sumatera Utara (km)</t>
  </si>
  <si>
    <t>PYSU (Nilai penyerapan pangan di Sumatera Utara )</t>
  </si>
  <si>
    <t>KESU (Total konsumsi energi di Sumatera Utara )</t>
  </si>
  <si>
    <t>SKSS (Sanitasi dan Akses Ketersediaan Air Bersih di Sumatera selain Sumatera Utara (unit))</t>
  </si>
  <si>
    <t>IBSU (Nilai pengetahuan Ibu Rumah Tangga tentang pola makan dan pola asuh kesehatan di Sumatera Utara(unit)</t>
  </si>
  <si>
    <t>PYSS (Nilai penyerapan pangan di Sumatera selain Sumatera Utara)</t>
  </si>
  <si>
    <t>KESS (Total konsumsi energi di Pulau Sulawesi selain Sumatera Utara)</t>
  </si>
  <si>
    <t>KGSS (Kecukupan gizi di Sumatera selain Sumatera Utara (%)</t>
  </si>
  <si>
    <t>FKSS (Jumlah Fasilitas Kesehatan di Sumatera selain Sumatera Utara (unit))</t>
  </si>
  <si>
    <t>SKSS (Sanitasi dan Akses Ketersediaan Air Bersih di Sumatera selain Sumatera Utara (unit)</t>
  </si>
  <si>
    <t>IBSS (Nilai pengetahuan Ibu Rumah Tangga tentang pola makan dan pola asuh kesehatan di Sumatera selain Sumatera Utara (unit)</t>
  </si>
  <si>
    <t>Koefisien</t>
  </si>
  <si>
    <t>Constan</t>
  </si>
  <si>
    <t>Yaksen</t>
  </si>
  <si>
    <t>Y-Yaksen</t>
  </si>
  <si>
    <t>(Y-Yaksen)^2</t>
  </si>
  <si>
    <t>Total</t>
  </si>
  <si>
    <t>MSE</t>
  </si>
  <si>
    <t>RMSE</t>
  </si>
  <si>
    <t>AD</t>
  </si>
  <si>
    <t>SUM AD</t>
  </si>
  <si>
    <t>MAD</t>
  </si>
  <si>
    <t>Data Ramalan</t>
  </si>
  <si>
    <t>Data Aktual</t>
  </si>
  <si>
    <t>APE</t>
  </si>
  <si>
    <t>Mape</t>
  </si>
  <si>
    <t>Pe</t>
  </si>
  <si>
    <t>Konstan</t>
  </si>
  <si>
    <t>Nilai Prediksi</t>
  </si>
  <si>
    <t>Nilai Aktual</t>
  </si>
  <si>
    <t>Nilai Aktual-Nilai Prediksi</t>
  </si>
  <si>
    <t>Nlai Aktual</t>
  </si>
  <si>
    <t>RSME</t>
  </si>
  <si>
    <t xml:space="preserve">Nilai Aktual </t>
  </si>
  <si>
    <t>Konstanta</t>
  </si>
  <si>
    <t>Aktual</t>
  </si>
  <si>
    <t>Prediksi</t>
  </si>
  <si>
    <t>HFSU*JPSU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</si>
  <si>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</si>
  <si>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</si>
  <si>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</si>
  <si>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</si>
  <si>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</si>
  <si>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</si>
  <si>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</si>
  <si>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</si>
  <si>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</si>
  <si>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</si>
  <si>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</si>
  <si>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</si>
  <si>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</si>
  <si>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</si>
  <si>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</si>
  <si>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</si>
  <si>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</si>
  <si>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</si>
  <si>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</si>
  <si>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</si>
  <si>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</si>
  <si>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2023</t>
  </si>
  <si>
    <t>2024</t>
  </si>
  <si>
    <t>2025</t>
  </si>
  <si>
    <t>2026</t>
  </si>
  <si>
    <t>2027</t>
  </si>
  <si>
    <t>Semester</t>
  </si>
  <si>
    <t>RSMPE</t>
  </si>
  <si>
    <t>Jumlah Penduduk SU</t>
  </si>
  <si>
    <t>13.</t>
  </si>
  <si>
    <t>1.</t>
  </si>
  <si>
    <t>2.</t>
  </si>
  <si>
    <t>3.</t>
  </si>
  <si>
    <t>6.</t>
  </si>
  <si>
    <t>5.</t>
  </si>
  <si>
    <t>4.</t>
  </si>
  <si>
    <t>9.</t>
  </si>
  <si>
    <t>8.</t>
  </si>
  <si>
    <t>7.</t>
  </si>
  <si>
    <t>10.</t>
  </si>
  <si>
    <t>18.</t>
  </si>
  <si>
    <t>14.</t>
  </si>
  <si>
    <t>17.</t>
  </si>
  <si>
    <t>16.</t>
  </si>
  <si>
    <t>11.</t>
  </si>
  <si>
    <t>22.</t>
  </si>
  <si>
    <t>12.</t>
  </si>
  <si>
    <t>21.</t>
  </si>
  <si>
    <t>23.</t>
  </si>
  <si>
    <t>15.</t>
  </si>
  <si>
    <t>19.</t>
  </si>
  <si>
    <t>20.</t>
  </si>
  <si>
    <t>HGSU = Harga gabah di tingkat petani (Rp/Kg)</t>
  </si>
  <si>
    <t>HFSU = Harga pupuk kombinasi Rp/Ha</t>
  </si>
  <si>
    <t xml:space="preserve">CHSU = Jumlah curah hujan </t>
  </si>
  <si>
    <t xml:space="preserve">ATSU=Proporsi areal sawah intensifikasi % (jumlah lahan yang telah dikonversi ke sawah intens) </t>
  </si>
  <si>
    <t>JPSU=Penggunaan pupuk Sumatera (KG/Ha)</t>
  </si>
  <si>
    <t xml:space="preserve">PLSU=Produksi padi ladang </t>
  </si>
  <si>
    <t xml:space="preserve">PSSU=Produksi padi sawah </t>
  </si>
  <si>
    <t>APSU=Luas areal padi sawah</t>
  </si>
  <si>
    <t xml:space="preserve">ALSU=Luas areal padi ladang </t>
  </si>
  <si>
    <t>TPSU=Total Produksi Padi</t>
  </si>
  <si>
    <t xml:space="preserve">YISU=Produktifitas padi sawah </t>
  </si>
  <si>
    <t>TPBI=Total produksi padi nasional</t>
  </si>
  <si>
    <t>HBDI=Harga eceran beras di pasar domestik (Kg)</t>
  </si>
  <si>
    <t>LSBI=Jumlah pelepasan stok beras Bulog untuk operasi pasar (ton)</t>
  </si>
  <si>
    <t>IMBI=Jumlah impor beras Indonesia</t>
  </si>
  <si>
    <t>INRG=Tingkat bunga riil pinjaman Bulog</t>
  </si>
  <si>
    <t>MPBI=Marjin pemasaran beras domestik pada tahun t</t>
  </si>
  <si>
    <t>QSBI=Total penawaran beras di pasar domestik</t>
  </si>
  <si>
    <t xml:space="preserve">TPBI=Total produksi beras nasional </t>
  </si>
  <si>
    <t>STBI=Jumlah stok beras nasional akhir tahun di Bulog</t>
  </si>
  <si>
    <t>KOBI=Jumlah konsumsi beras untuk pangan</t>
  </si>
  <si>
    <t>HBDI=Harga beras tingkat konsumen domestik secara nasional</t>
  </si>
  <si>
    <t>GDPI=Pendapatan riil per kapita penduduk Indonesia</t>
  </si>
  <si>
    <t>POPI=Jumlah penduduk Indonesia</t>
  </si>
  <si>
    <t>RPKD=Rasio penduduk perkotaan dan pedesaan</t>
  </si>
  <si>
    <t>IHBI=Nilai intervensi harga eceran beras di pasar domestik</t>
  </si>
  <si>
    <t>MPBI=Nilai marjin pemasaran beras</t>
  </si>
  <si>
    <t>PESU=Pendapatan usahatani padi sawah Sumatera Utara (Rp / Ha)</t>
  </si>
  <si>
    <t>PESS=Pendapatan usahatani padi sawah Seluruh Sumatera  (Rp / Ha)</t>
  </si>
  <si>
    <t>BUSU=Biaya upah tenaga kerja usahatani (rupiah/Ha)</t>
  </si>
  <si>
    <t>BKSU=Biaya pestisida untuk usahatani (rupiah/Ha)</t>
  </si>
  <si>
    <t>BLSU=Biaya lainnya untuk usahatani</t>
  </si>
  <si>
    <t>HIMI=Harga impor beras Indonesia (harga impor/KG)</t>
  </si>
  <si>
    <t>ECRI=Nilai tukar rupiah terhadap Dollar USA</t>
  </si>
  <si>
    <t>ANSU=Nilai akses pangan</t>
  </si>
  <si>
    <t>PPSU=Preferensi terhadap jenis pangan dan pendidikan (Preferensi Pemilihan Pangan Berdasarkan Rata-rata Lama Pendidikan)</t>
  </si>
  <si>
    <t>KBSU=Kondisi jumlah kasus konflik sosial-politik ditambah fenomena bencana</t>
  </si>
  <si>
    <t>KKSU=Kesempatan kerja</t>
  </si>
  <si>
    <t>PJSU=Panjang jalan (provinsi ditambah kabupaten/kota)</t>
  </si>
  <si>
    <t>IISU=Panjang infrastruktur irigasi (KM) ambil Luas dari hektar ke KM</t>
  </si>
  <si>
    <t xml:space="preserve">PYSU=Nilai penyerapan pangan (TKP dengan satuan gr/kpt. /hari) </t>
  </si>
  <si>
    <t>KESU=Total konsumsi energi</t>
  </si>
  <si>
    <t>KGSU=Kecukupan Gizi (% Gizi Baik)</t>
  </si>
  <si>
    <t>FKSU=Jumlah fasilitas kesehatan</t>
  </si>
  <si>
    <t>SKSU=Sanitasi (Persentase Sanitasi Layak)</t>
  </si>
  <si>
    <t>IBSU=Nilai pengetahuan Ibu rumah tangga tentang Gizi Ibu dan Anak (% Pengetahuan baik )</t>
  </si>
  <si>
    <t>Sem.</t>
  </si>
  <si>
    <t>PKSU=Pendapatan masyarakat perkapita Sumatera Utara</t>
  </si>
  <si>
    <t xml:space="preserve">Areal Padi SU </t>
  </si>
  <si>
    <t>Time</t>
  </si>
  <si>
    <t>Ex-Ante</t>
  </si>
  <si>
    <t>Ex-Post</t>
  </si>
  <si>
    <t>Variabel</t>
  </si>
  <si>
    <t>Koefisien Regresi</t>
  </si>
  <si>
    <t>Prob.</t>
  </si>
  <si>
    <t>Nama Variabel</t>
  </si>
  <si>
    <t>0.5268</t>
  </si>
  <si>
    <t>0.0036 (a)</t>
  </si>
  <si>
    <t>Luas areal sawah beririgrasi di Provinsi Sumatera Utara</t>
  </si>
  <si>
    <t>-0.0685</t>
  </si>
  <si>
    <t>0.2869</t>
  </si>
  <si>
    <t>Jumlah Curah hujan rata-rata di Provinsi Sumatera Utara</t>
  </si>
  <si>
    <t>0.1402</t>
  </si>
  <si>
    <t>Produktifitas padi sawah di Provinsi Sumatera Utara</t>
  </si>
  <si>
    <t>APSUT</t>
  </si>
  <si>
    <t>0.001</t>
  </si>
  <si>
    <t>0.0015 (a)</t>
  </si>
  <si>
    <t>C</t>
  </si>
  <si>
    <t>0.8122</t>
  </si>
  <si>
    <t>R-sq : 0.8555 F- hit : 14.673 Prob F &lt; 0.000 DW : 0.538</t>
  </si>
  <si>
    <t>Average</t>
  </si>
  <si>
    <t>Average x/ Average y</t>
  </si>
  <si>
    <t>Koef</t>
  </si>
  <si>
    <t>ESR</t>
  </si>
  <si>
    <t>ELR</t>
  </si>
  <si>
    <t>YISUT</t>
  </si>
  <si>
    <t>JPSUT</t>
  </si>
  <si>
    <t>ANSUT</t>
  </si>
  <si>
    <t>0.1088</t>
  </si>
  <si>
    <t>Harga pedagang besar indonesia_Harga pupuk di Provinsi Sumatera Utara</t>
  </si>
  <si>
    <t>0.004</t>
  </si>
  <si>
    <t>0.036(a)</t>
  </si>
  <si>
    <t>-0.008</t>
  </si>
  <si>
    <t>0.028(a)</t>
  </si>
  <si>
    <t>Penggunaan pupuk di Provinsi Sumatera Utara</t>
  </si>
  <si>
    <t>0.781</t>
  </si>
  <si>
    <t>0.000(a)</t>
  </si>
  <si>
    <t>Produktifitas padi sawah di Provinsi Sumatera Utara tahun t</t>
  </si>
  <si>
    <t>0.1895</t>
  </si>
  <si>
    <t>Luas areal padi sawah di Provinsi Sumatera Utara</t>
  </si>
  <si>
    <t>0.6353</t>
  </si>
  <si>
    <t>R-sq : 0.9042 F- hit : 34.826 Prob F &lt; 0.000 DW : 1.914</t>
  </si>
  <si>
    <t>0.7017</t>
  </si>
  <si>
    <t>Harga pedagang besar Indonesia_Harga pupuk di Provinsi Sumatera Utara</t>
  </si>
  <si>
    <t>-0.215</t>
  </si>
  <si>
    <t>0.8575</t>
  </si>
  <si>
    <t>0.428</t>
  </si>
  <si>
    <t>0.042(a)</t>
  </si>
  <si>
    <t>0.0888</t>
  </si>
  <si>
    <t>0.9737</t>
  </si>
  <si>
    <t>0.1097</t>
  </si>
  <si>
    <t>Nilai Akses Pangan di Provinsi Sumatera Utara</t>
  </si>
  <si>
    <t>0.0194</t>
  </si>
  <si>
    <t>0.0246 (a)</t>
  </si>
  <si>
    <t>Kondisi Jumlah Kasus Konflik Sosial-Politik di Tambah Jumlah Fenomena Bencana Alam di Provinsi Sumatera Utara</t>
  </si>
  <si>
    <t>0.7752</t>
  </si>
  <si>
    <t>0.6226</t>
  </si>
  <si>
    <t>Kesempatan Kerja di Provinsi Sumatera Utara</t>
  </si>
  <si>
    <t>PKSU</t>
  </si>
  <si>
    <t>0.0161</t>
  </si>
  <si>
    <t>0.0033 (a)</t>
  </si>
  <si>
    <t>Pendapatan Masyarakat Perkapita di Provinsi Sumatera Utara</t>
  </si>
  <si>
    <t>0.0015</t>
  </si>
  <si>
    <t>0.0017 (a)</t>
  </si>
  <si>
    <t>Panjang Jalan (Provinsi ditambah Kabupaten/Kota) di Provinsi Sumatera Utara</t>
  </si>
  <si>
    <t>0.1957</t>
  </si>
  <si>
    <t>0.0039 (a)</t>
  </si>
  <si>
    <t>Akses terhadap beras di Provinsi Sumatera Utara pada tahun t</t>
  </si>
  <si>
    <t>R-sq : 0.8442            F- hit : 1.746            Prob F &lt; 0.01272             DW : 2.647</t>
  </si>
  <si>
    <t>0.047(a)</t>
  </si>
  <si>
    <t>Harga beras tingkat            konsumen domestik secara nasional</t>
  </si>
  <si>
    <t>-0.8113</t>
  </si>
  <si>
    <t>0.3572</t>
  </si>
  <si>
    <t>0.032(a)</t>
  </si>
  <si>
    <t>Pendapatan riil per kapita penduduk  Sumatera Utara</t>
  </si>
  <si>
    <t>0.043(a)</t>
  </si>
  <si>
    <t>Jumlah total penduduk Sumatera Utara</t>
  </si>
  <si>
    <t>0.049(a)</t>
  </si>
  <si>
    <t>Rasio penduduk  perkotaan dan pedesaan</t>
  </si>
  <si>
    <t>LOGTAHUN</t>
  </si>
  <si>
    <t>-0.9737</t>
  </si>
  <si>
    <t>Jumlah konsumsi beras untuk pangan  log tahun</t>
  </si>
  <si>
    <t>KOBIT</t>
  </si>
  <si>
    <t>0.9435</t>
  </si>
  <si>
    <t>0.005(a)</t>
  </si>
  <si>
    <t>212758.1</t>
  </si>
  <si>
    <t>0.8005</t>
  </si>
  <si>
    <t>Koefisien regresi</t>
  </si>
  <si>
    <t>0.0482</t>
  </si>
  <si>
    <t>0.012 (a)</t>
  </si>
  <si>
    <t>Total Konsumsi Energi di Provinsi Sumatera Utara</t>
  </si>
  <si>
    <t>0.0472</t>
  </si>
  <si>
    <t>0.018 (a)</t>
  </si>
  <si>
    <t>Luas Areal Sawah Beririgasi di Provinsi Sumatera Utara</t>
  </si>
  <si>
    <t>0.0003</t>
  </si>
  <si>
    <t>0.8517</t>
  </si>
  <si>
    <t>Curah Hujan Sumatera Utara</t>
  </si>
  <si>
    <t>SKSU</t>
  </si>
  <si>
    <t>0.2461</t>
  </si>
  <si>
    <t>0.0031 (a)</t>
  </si>
  <si>
    <t>Sanitasi dan Akses Ketersediaan Air Bersih di Provinsi Sumatera Utara</t>
  </si>
  <si>
    <t>0.0081 (a)</t>
  </si>
  <si>
    <t>Nilai Pengetahuan Ibu Rumah Tangga Tentang Pola Makan dan Pola Asuh Kesehatan di Provinsi Sumatera Utara</t>
  </si>
  <si>
    <t>PYSUT</t>
  </si>
  <si>
    <t>0.5769</t>
  </si>
  <si>
    <t>0.0249 (a)</t>
  </si>
  <si>
    <t>Penyerapan Beras (PYSU) di Provinsi Sumatera Utara pada tahun t sebelumnya</t>
  </si>
  <si>
    <t>0.0404</t>
  </si>
  <si>
    <t>0.2934</t>
  </si>
  <si>
    <t>0.0316(a)</t>
  </si>
  <si>
    <t>Harga gabah di tingkat   petani</t>
  </si>
  <si>
    <t>-6.24E-06</t>
  </si>
  <si>
    <t>0.2041</t>
  </si>
  <si>
    <t>Nilai intervensi harga eceran beras di pasar domestic_ Nilai tukar</t>
  </si>
  <si>
    <t>-0.7837</t>
  </si>
  <si>
    <t>0.0995</t>
  </si>
  <si>
    <t>Nilai marjin pemasaran beras secara nasional</t>
  </si>
  <si>
    <t>0.0002</t>
  </si>
  <si>
    <t>0.0325(a)</t>
  </si>
  <si>
    <t>Harga gabah tingkat petani secara nasional</t>
  </si>
  <si>
    <t>0.2139</t>
  </si>
  <si>
    <t>R-sq : 0.9960 F- hit : 763.229 Prob F &lt; 0,000 DW : 1.541</t>
  </si>
  <si>
    <t>0.8134</t>
  </si>
  <si>
    <t>0.0002 (a)</t>
  </si>
  <si>
    <t>-3.56E-04</t>
  </si>
  <si>
    <t>0.8408</t>
  </si>
  <si>
    <t>-0.0062</t>
  </si>
  <si>
    <t>0.9939</t>
  </si>
  <si>
    <t>Nilai marjin pemasaran beras di wilayah Sumatera</t>
  </si>
  <si>
    <t>-0.0005</t>
  </si>
  <si>
    <t>0.2418</t>
  </si>
  <si>
    <t>Produksi padi sawah di Provinsi Sumatera Utara_ Produksi padi ladang</t>
  </si>
  <si>
    <t>0.5097</t>
  </si>
  <si>
    <t>Jumlah pengadaan beras dari dalam negeri untuk stok Bulog_ Total produksi</t>
  </si>
  <si>
    <t>HGSUT</t>
  </si>
  <si>
    <t>0.4058</t>
  </si>
  <si>
    <t>0.0373 (a)</t>
  </si>
  <si>
    <t>0.8378</t>
  </si>
  <si>
    <t>R-sq : 0.9947        F- hit : 442,64               Prob F &lt; 0,000             DW : 2.306</t>
  </si>
  <si>
    <t>4.61E-05</t>
  </si>
  <si>
    <t>0.0476(a)</t>
  </si>
  <si>
    <t>Harga impor beras Indonesia_ Nilai tukar rupiah terhadap dollar USA</t>
  </si>
  <si>
    <t>TPBI_TPBIT</t>
  </si>
  <si>
    <t>-4.95E-05</t>
  </si>
  <si>
    <t>-0.4256</t>
  </si>
  <si>
    <t>Nilai intervensi harga eceran beras di pasar</t>
  </si>
  <si>
    <t>-87124.21</t>
  </si>
  <si>
    <t>0.0937</t>
  </si>
  <si>
    <t>293569.5</t>
  </si>
  <si>
    <t>0.0934</t>
  </si>
  <si>
    <t>R-sq : 0.6433              F- hit : 4.821              Prob F &lt; 0.0182             DW : 1.488</t>
  </si>
  <si>
    <t>5.87E-05</t>
  </si>
  <si>
    <t>0.754738</t>
  </si>
  <si>
    <t>0.2215</t>
  </si>
  <si>
    <t>0.074655</t>
  </si>
  <si>
    <t>0.008(a)</t>
  </si>
  <si>
    <t>-0.05724</t>
  </si>
  <si>
    <t>0.6543</t>
  </si>
  <si>
    <t>Dengan indeks harga</t>
  </si>
  <si>
    <t>0.389624</t>
  </si>
  <si>
    <t>0.006(a)</t>
  </si>
  <si>
    <t>Jumlah pelepasan stok beras Bulog untuk operasi pasar (1000</t>
  </si>
  <si>
    <t>HBDIT</t>
  </si>
  <si>
    <t>0.28742</t>
  </si>
  <si>
    <t>0.007(a)</t>
  </si>
  <si>
    <t>Harga beras tingkat konsumen domestik</t>
  </si>
  <si>
    <t>0.0001</t>
  </si>
  <si>
    <t>R-sq : 0.9968            F- hit : 733.507              Prob F &lt; 0,000         DW : 1.958</t>
  </si>
  <si>
    <t>3.89E-5</t>
  </si>
  <si>
    <t>0.1157</t>
  </si>
  <si>
    <t>-0.303</t>
  </si>
  <si>
    <t>0.0831</t>
  </si>
  <si>
    <t>HESUT</t>
  </si>
  <si>
    <t>0.681</t>
  </si>
  <si>
    <t>0.000</t>
  </si>
  <si>
    <t>R-sq : 0.9942            F- hit : 683,1935       Prob F &lt; 0.000       DW : 1.488</t>
  </si>
  <si>
    <t>t-hitung</t>
  </si>
  <si>
    <t>Nama variabel</t>
  </si>
  <si>
    <t>0.016</t>
  </si>
  <si>
    <t>0.011</t>
  </si>
  <si>
    <t>3.206(a)</t>
  </si>
  <si>
    <t>0.022</t>
  </si>
  <si>
    <t>2.379(a)</t>
  </si>
  <si>
    <t>2.865(a)</t>
  </si>
  <si>
    <t>0.551</t>
  </si>
  <si>
    <t>R-sq : 0.955 F- hit : 1.679 Prob F &lt; 0,299 DW : 0.495</t>
  </si>
  <si>
    <t>Elastisitas</t>
  </si>
  <si>
    <t>Esr</t>
  </si>
  <si>
    <t>Elr</t>
  </si>
  <si>
    <t>Harga gabah di tingkat petani Sumatera Utara_ Produktifitas padi sawah di Sumatera Utara</t>
  </si>
  <si>
    <t>Harga pupuk kombinasi di Provinsi Sumatera Utara_ Penggunaan pupuk di Sumatera Utara</t>
  </si>
  <si>
    <t>Biaya upah tenaga kerja usahatani di Sumatera Utara</t>
  </si>
  <si>
    <t>Biaya pestisida untuk usahatani padi di Provinsi Sumatera Utara</t>
  </si>
  <si>
    <t>Biaya lainnya untuk  usahatani padi di Sumatera Utara</t>
  </si>
  <si>
    <t xml:space="preserve">Total penawaran beras di pasar domestik </t>
  </si>
  <si>
    <t>Jumlah konsumsi beras untuk pangan dengan indeks harga pedagang besar Indonesia tahun t</t>
  </si>
  <si>
    <t>Els</t>
  </si>
  <si>
    <t>Harga gabah di tingkat petani Sumatera Utara</t>
  </si>
  <si>
    <t>Nilai intervensi harga eceran beras di pasar domestic_ Nilai tukar rupiah terhadap dollar</t>
  </si>
  <si>
    <t>R-sq : 0.6484          F- hit : 4.3030         Prob F &lt; 0.011           DW : 1.793</t>
  </si>
  <si>
    <t>R-sq : 0.8978         F- hit : 25.808          Prob F &lt; 0.000          DW : 2.255</t>
  </si>
  <si>
    <t>Areal sawah intensifikasi di Sumatera Utara</t>
  </si>
  <si>
    <t>Penggunaan pupuk di Sumatera Utara tahun t</t>
  </si>
  <si>
    <t>R-sq : 0.2059        F- hit : 1.437         Prob F &lt; 0.272             DW : 1.547</t>
  </si>
  <si>
    <t>Luas areal sawah beririgrasi di Sumatera Utara</t>
  </si>
  <si>
    <t>Harga pedagang besar Indonesia_Harga  pupuk di Provinsi Sumatera Utara</t>
  </si>
  <si>
    <t>Luas areal padi sawah di Provinsi Sumatera Utara per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</si>
</sst>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Rp&quot;* #,##0_);_(&quot;Rp&quot;* \(#,##0\);_(&quot;Rp&quot;* &quot;-&quot;_);_(@_)"/>
    <numFmt numFmtId="165" formatCode="_(* #,##0.00_);_(* \(#,##0.00\);_(* &quot;-&quot;??_);_(@_)"/>
    <numFmt numFmtId="166" formatCode="#,##0.0"/>
    <numFmt numFmtId="167" formatCode="0.0%"/>
    <numFmt numFmtId="168" formatCode="0.000000"/>
    <numFmt numFmtId="169" formatCode="#,##0.000"/>
    <numFmt numFmtId="170" formatCode="#,##0.0000"/>
    <numFmt numFmtId="171" formatCode="#,##0.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libri Light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sz val="9"/>
      <color rgb="FF000000"/>
      <name val="Times New Roman"/>
      <family val="1"/>
    </font>
    <font>
      <sz val="12"/>
      <color rgb="FF000000"/>
      <name val="Times New Roman"/>
      <family val="1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7E7E7E"/>
      </top>
      <bottom/>
      <diagonal/>
    </border>
    <border>
      <left/>
      <right/>
      <top/>
      <bottom style="medium">
        <color rgb="FF7E7E7E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7E7E7E"/>
      </top>
      <bottom style="thin">
        <color indexed="64"/>
      </bottom>
      <diagonal/>
    </border>
  </borders>
  <cellStyleXfs count="46">
    <xf numFmtId="0" fontId="0" fillId="0" borderId="0"/>
    <xf numFmtId="0" fontId="1" fillId="0" borderId="0"/>
    <xf numFmtId="0" fontId="3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5" fillId="3" borderId="0" applyNumberFormat="0" applyBorder="0" applyAlignment="0" applyProtection="0"/>
    <xf numFmtId="0" fontId="6" fillId="6" borderId="6" applyNumberFormat="0" applyAlignment="0" applyProtection="0"/>
    <xf numFmtId="0" fontId="7" fillId="7" borderId="9" applyNumberFormat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6" applyNumberFormat="0" applyAlignment="0" applyProtection="0"/>
    <xf numFmtId="0" fontId="14" fillId="0" borderId="8" applyNumberFormat="0" applyFill="0" applyAlignment="0" applyProtection="0"/>
    <xf numFmtId="0" fontId="15" fillId="4" borderId="0" applyNumberFormat="0" applyBorder="0" applyAlignment="0" applyProtection="0"/>
    <xf numFmtId="0" fontId="1" fillId="8" borderId="10" applyNumberFormat="0" applyFont="0" applyAlignment="0" applyProtection="0"/>
    <xf numFmtId="0" fontId="16" fillId="6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165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13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5" fontId="0" fillId="0" borderId="0" xfId="44" applyFont="1"/>
    <xf numFmtId="4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2" fontId="0" fillId="33" borderId="0" xfId="0" applyNumberFormat="1" applyFill="1"/>
    <xf numFmtId="3" fontId="0" fillId="33" borderId="0" xfId="0" applyNumberFormat="1" applyFill="1"/>
    <xf numFmtId="4" fontId="0" fillId="33" borderId="0" xfId="0" applyNumberFormat="1" applyFill="1"/>
    <xf numFmtId="0" fontId="0" fillId="33" borderId="0" xfId="0" applyFill="1"/>
    <xf numFmtId="10" fontId="0" fillId="0" borderId="0" xfId="0" applyNumberFormat="1"/>
    <xf numFmtId="165" fontId="0" fillId="33" borderId="0" xfId="44" applyFont="1" applyFill="1"/>
    <xf numFmtId="10" fontId="0" fillId="33" borderId="0" xfId="45" applyNumberFormat="1" applyFont="1" applyFill="1"/>
    <xf numFmtId="0" fontId="2" fillId="0" borderId="0" xfId="0" applyFont="1"/>
    <xf numFmtId="10" fontId="0" fillId="0" borderId="0" xfId="45" applyNumberFormat="1" applyFont="1" applyFill="1"/>
    <xf numFmtId="167" fontId="0" fillId="0" borderId="0" xfId="45" applyNumberFormat="1" applyFont="1" applyFill="1"/>
    <xf numFmtId="168" fontId="0" fillId="0" borderId="0" xfId="0" applyNumberFormat="1"/>
    <xf numFmtId="0" fontId="0" fillId="0" borderId="0" xfId="0" applyAlignment="1">
      <alignment vertical="center"/>
    </xf>
    <xf numFmtId="166" fontId="0" fillId="0" borderId="0" xfId="0" applyNumberFormat="1"/>
    <xf numFmtId="0" fontId="22" fillId="0" borderId="0" xfId="0" applyFont="1"/>
    <xf numFmtId="0" fontId="22" fillId="0" borderId="0" xfId="0" applyFont="1" applyAlignment="1">
      <alignment horizontal="right" vertical="center" wrapText="1"/>
    </xf>
    <xf numFmtId="0" fontId="23" fillId="0" borderId="0" xfId="0" applyFont="1"/>
    <xf numFmtId="43" fontId="0" fillId="0" borderId="0" xfId="0" applyNumberFormat="1"/>
    <xf numFmtId="165" fontId="0" fillId="0" borderId="0" xfId="0" applyNumberFormat="1"/>
    <xf numFmtId="11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" fontId="0" fillId="0" borderId="0" xfId="45" applyNumberFormat="1" applyFont="1" applyFill="1"/>
    <xf numFmtId="165" fontId="0" fillId="0" borderId="0" xfId="44" applyFont="1" applyFill="1"/>
    <xf numFmtId="10" fontId="0" fillId="0" borderId="0" xfId="45" applyNumberFormat="1" applyFont="1"/>
    <xf numFmtId="0" fontId="0" fillId="0" borderId="0" xfId="0" quotePrefix="1"/>
    <xf numFmtId="0" fontId="0" fillId="33" borderId="0" xfId="0" quotePrefix="1" applyFill="1"/>
    <xf numFmtId="0" fontId="0" fillId="33" borderId="0" xfId="0" applyFill="1" applyAlignment="1">
      <alignment vertical="center"/>
    </xf>
    <xf numFmtId="0" fontId="0" fillId="34" borderId="0" xfId="0" applyFill="1" applyAlignment="1">
      <alignment vertical="center"/>
    </xf>
    <xf numFmtId="0" fontId="0" fillId="35" borderId="0" xfId="0" applyFill="1" applyAlignment="1">
      <alignment vertical="center"/>
    </xf>
    <xf numFmtId="165" fontId="0" fillId="0" borderId="0" xfId="44" quotePrefix="1" applyFont="1"/>
    <xf numFmtId="2" fontId="0" fillId="0" borderId="0" xfId="44" applyNumberFormat="1" applyFont="1"/>
    <xf numFmtId="165" fontId="2" fillId="0" borderId="0" xfId="44" applyFont="1"/>
    <xf numFmtId="165" fontId="2" fillId="0" borderId="0" xfId="44" applyFont="1" applyAlignment="1">
      <alignment vertical="center" wrapText="1"/>
    </xf>
    <xf numFmtId="165" fontId="2" fillId="0" borderId="0" xfId="44" applyFont="1" applyAlignment="1">
      <alignment horizontal="center" vertical="center" wrapText="1"/>
    </xf>
    <xf numFmtId="165" fontId="2" fillId="0" borderId="0" xfId="44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165" fontId="0" fillId="0" borderId="0" xfId="44" applyFont="1" applyAlignment="1">
      <alignment horizontal="right"/>
    </xf>
    <xf numFmtId="0" fontId="0" fillId="0" borderId="0" xfId="44" quotePrefix="1" applyNumberFormat="1" applyFont="1" applyAlignment="1">
      <alignment horizontal="left"/>
    </xf>
    <xf numFmtId="0" fontId="0" fillId="0" borderId="0" xfId="44" applyNumberFormat="1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/>
    </xf>
    <xf numFmtId="1" fontId="0" fillId="0" borderId="0" xfId="0" applyNumberFormat="1"/>
    <xf numFmtId="164" fontId="0" fillId="0" borderId="0" xfId="0" applyNumberFormat="1"/>
    <xf numFmtId="1" fontId="0" fillId="0" borderId="0" xfId="45" applyNumberFormat="1" applyFont="1"/>
    <xf numFmtId="4" fontId="24" fillId="0" borderId="0" xfId="0" applyNumberFormat="1" applyFont="1"/>
    <xf numFmtId="165" fontId="2" fillId="0" borderId="0" xfId="44" applyFont="1" applyAlignment="1">
      <alignment horizontal="right" vertical="center"/>
    </xf>
    <xf numFmtId="4" fontId="2" fillId="0" borderId="0" xfId="0" applyNumberFormat="1" applyFont="1"/>
    <xf numFmtId="0" fontId="0" fillId="0" borderId="13" xfId="0" applyBorder="1"/>
    <xf numFmtId="165" fontId="2" fillId="0" borderId="13" xfId="44" applyFont="1" applyBorder="1"/>
    <xf numFmtId="0" fontId="25" fillId="36" borderId="12" xfId="0" applyFont="1" applyFill="1" applyBorder="1" applyAlignment="1">
      <alignment vertical="center" wrapText="1"/>
    </xf>
    <xf numFmtId="0" fontId="25" fillId="36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justify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3" fontId="2" fillId="0" borderId="16" xfId="0" applyNumberFormat="1" applyFont="1" applyBorder="1" applyAlignment="1">
      <alignment vertical="center"/>
    </xf>
    <xf numFmtId="0" fontId="0" fillId="0" borderId="0" xfId="0" applyAlignment="1">
      <alignment wrapText="1"/>
    </xf>
    <xf numFmtId="3" fontId="2" fillId="0" borderId="0" xfId="0" applyNumberFormat="1" applyFont="1" applyAlignment="1">
      <alignment vertical="center"/>
    </xf>
    <xf numFmtId="0" fontId="27" fillId="0" borderId="0" xfId="0" applyFont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0" fontId="26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3" fontId="24" fillId="0" borderId="0" xfId="0" applyNumberFormat="1" applyFont="1" applyAlignment="1">
      <alignment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right" vertical="center" wrapText="1"/>
    </xf>
    <xf numFmtId="0" fontId="24" fillId="0" borderId="19" xfId="0" applyFont="1" applyBorder="1" applyAlignment="1">
      <alignment vertical="center" wrapText="1"/>
    </xf>
    <xf numFmtId="3" fontId="24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 indent="1"/>
    </xf>
    <xf numFmtId="3" fontId="24" fillId="0" borderId="0" xfId="0" applyNumberFormat="1" applyFont="1" applyAlignment="1">
      <alignment horizontal="right" vertical="center" wrapText="1"/>
    </xf>
    <xf numFmtId="0" fontId="26" fillId="0" borderId="0" xfId="0" applyFont="1"/>
    <xf numFmtId="0" fontId="2" fillId="0" borderId="19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" fillId="0" borderId="17" xfId="0" applyFont="1" applyBorder="1" applyAlignment="1">
      <alignment vertical="center" wrapText="1"/>
    </xf>
    <xf numFmtId="3" fontId="2" fillId="0" borderId="0" xfId="0" applyNumberFormat="1" applyFont="1" applyAlignment="1">
      <alignment horizontal="justify" vertical="center" wrapText="1"/>
    </xf>
    <xf numFmtId="0" fontId="2" fillId="0" borderId="19" xfId="0" applyFont="1" applyBorder="1" applyAlignment="1">
      <alignment horizontal="justify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justify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6" fillId="0" borderId="0" xfId="0" applyFont="1"/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4" fillId="0" borderId="12" xfId="0" applyFont="1" applyBorder="1" applyAlignment="1">
      <alignment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right" vertical="center" wrapText="1"/>
    </xf>
    <xf numFmtId="0" fontId="24" fillId="0" borderId="19" xfId="0" applyFont="1" applyBorder="1" applyAlignment="1">
      <alignment horizontal="right" vertical="center" wrapText="1"/>
    </xf>
    <xf numFmtId="0" fontId="24" fillId="0" borderId="20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0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" fillId="0" borderId="0" xfId="0" applyFont="1" applyAlignment="1">
      <alignment horizontal="center"/>
    </xf>
  </cellXfs>
  <cellStyles count="46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Calculation 2" xfId="28" xr:uid="{00000000-0005-0000-0000-000019000000}"/>
    <cellStyle name="Check Cell 2" xfId="29" xr:uid="{00000000-0005-0000-0000-00001A000000}"/>
    <cellStyle name="Comma" xfId="44" builtinId="3"/>
    <cellStyle name="Explanatory Text 2" xfId="30" xr:uid="{00000000-0005-0000-0000-00001C000000}"/>
    <cellStyle name="Good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Input 2" xfId="36" xr:uid="{00000000-0005-0000-0000-000022000000}"/>
    <cellStyle name="Linked Cell 2" xfId="37" xr:uid="{00000000-0005-0000-0000-000023000000}"/>
    <cellStyle name="Neutral 2" xfId="38" xr:uid="{00000000-0005-0000-0000-000024000000}"/>
    <cellStyle name="Normal" xfId="0" builtinId="0"/>
    <cellStyle name="Normal 2" xfId="1" xr:uid="{00000000-0005-0000-0000-000026000000}"/>
    <cellStyle name="Normal 3" xfId="2" xr:uid="{00000000-0005-0000-0000-000027000000}"/>
    <cellStyle name="Note 2" xfId="39" xr:uid="{00000000-0005-0000-0000-000028000000}"/>
    <cellStyle name="Output 2" xfId="40" xr:uid="{00000000-0005-0000-0000-000029000000}"/>
    <cellStyle name="Percent" xfId="45" builtinId="5"/>
    <cellStyle name="Title 2" xfId="41" xr:uid="{00000000-0005-0000-0000-00002B000000}"/>
    <cellStyle name="Total 2" xfId="42" xr:uid="{00000000-0005-0000-0000-00002C000000}"/>
    <cellStyle name="Warning Text 2" xfId="43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0543547681539809"/>
                  <c:y val="-1.424795858850977E-2"/>
                </c:manualLayout>
              </c:layout>
              <c:numFmt formatCode="General" sourceLinked="0"/>
            </c:trendlineLbl>
          </c:trendline>
          <c:cat>
            <c:numRef>
              <c:f>'Persamaan NI 1'!$A$3:$A$53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NI 1'!$C$3:$C$53</c:f>
              <c:numCache>
                <c:formatCode>#,##0</c:formatCode>
                <c:ptCount val="51"/>
                <c:pt idx="0">
                  <c:v>758726</c:v>
                </c:pt>
                <c:pt idx="1">
                  <c:v>764503</c:v>
                </c:pt>
                <c:pt idx="2">
                  <c:v>770280</c:v>
                </c:pt>
                <c:pt idx="3">
                  <c:v>778140</c:v>
                </c:pt>
                <c:pt idx="4">
                  <c:v>786000</c:v>
                </c:pt>
                <c:pt idx="5">
                  <c:v>795252</c:v>
                </c:pt>
                <c:pt idx="6">
                  <c:v>804504</c:v>
                </c:pt>
                <c:pt idx="7">
                  <c:v>844287</c:v>
                </c:pt>
                <c:pt idx="8">
                  <c:v>884070</c:v>
                </c:pt>
                <c:pt idx="9">
                  <c:v>890801.5</c:v>
                </c:pt>
                <c:pt idx="10">
                  <c:v>897533</c:v>
                </c:pt>
                <c:pt idx="11">
                  <c:v>911412.5</c:v>
                </c:pt>
                <c:pt idx="12">
                  <c:v>925292</c:v>
                </c:pt>
                <c:pt idx="13">
                  <c:v>940586</c:v>
                </c:pt>
                <c:pt idx="14">
                  <c:v>955880</c:v>
                </c:pt>
                <c:pt idx="15">
                  <c:v>968638.5</c:v>
                </c:pt>
                <c:pt idx="16">
                  <c:v>981397</c:v>
                </c:pt>
                <c:pt idx="17">
                  <c:v>1006138</c:v>
                </c:pt>
                <c:pt idx="18">
                  <c:v>1030879</c:v>
                </c:pt>
                <c:pt idx="19">
                  <c:v>1046820.5</c:v>
                </c:pt>
                <c:pt idx="20">
                  <c:v>1062762</c:v>
                </c:pt>
                <c:pt idx="21">
                  <c:v>1069761</c:v>
                </c:pt>
                <c:pt idx="22">
                  <c:v>1076760</c:v>
                </c:pt>
                <c:pt idx="23">
                  <c:v>2201241</c:v>
                </c:pt>
                <c:pt idx="24">
                  <c:v>3325722</c:v>
                </c:pt>
                <c:pt idx="25">
                  <c:v>3305074.5</c:v>
                </c:pt>
                <c:pt idx="26">
                  <c:v>3284427</c:v>
                </c:pt>
                <c:pt idx="27">
                  <c:v>2743681</c:v>
                </c:pt>
                <c:pt idx="28">
                  <c:v>2202935</c:v>
                </c:pt>
                <c:pt idx="29">
                  <c:v>2030705</c:v>
                </c:pt>
                <c:pt idx="30">
                  <c:v>1858475</c:v>
                </c:pt>
                <c:pt idx="31">
                  <c:v>2351914</c:v>
                </c:pt>
                <c:pt idx="32">
                  <c:v>2845353</c:v>
                </c:pt>
                <c:pt idx="33">
                  <c:v>3085537.5</c:v>
                </c:pt>
                <c:pt idx="34">
                  <c:v>3325722</c:v>
                </c:pt>
                <c:pt idx="35">
                  <c:v>2365280.5</c:v>
                </c:pt>
                <c:pt idx="36">
                  <c:v>1404839</c:v>
                </c:pt>
                <c:pt idx="37">
                  <c:v>1253724.5</c:v>
                </c:pt>
                <c:pt idx="38">
                  <c:v>1102610</c:v>
                </c:pt>
                <c:pt idx="39">
                  <c:v>1167714.5</c:v>
                </c:pt>
                <c:pt idx="40">
                  <c:v>1232819</c:v>
                </c:pt>
                <c:pt idx="41">
                  <c:v>1200266.75</c:v>
                </c:pt>
                <c:pt idx="42">
                  <c:v>2354268.4976771199</c:v>
                </c:pt>
                <c:pt idx="43">
                  <c:v>2393737.8361626598</c:v>
                </c:pt>
                <c:pt idx="44">
                  <c:v>2433207.1746482002</c:v>
                </c:pt>
                <c:pt idx="45">
                  <c:v>2472676.5131337298</c:v>
                </c:pt>
                <c:pt idx="46">
                  <c:v>2512145.8516192702</c:v>
                </c:pt>
                <c:pt idx="47">
                  <c:v>2551615.1901047998</c:v>
                </c:pt>
                <c:pt idx="48">
                  <c:v>2591084.5285903402</c:v>
                </c:pt>
                <c:pt idx="49">
                  <c:v>2630553.8670758801</c:v>
                </c:pt>
                <c:pt idx="50">
                  <c:v>2670023.2055614102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9-4CB7-9935-FA844C2C1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789600"/>
        <c:axId val="2130784160"/>
      </c:lineChart>
      <c:catAx>
        <c:axId val="21307896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784160"/>
        <c:crosses val="autoZero"/>
        <c:auto val="1"/>
        <c:lblAlgn val="ctr"/>
        <c:lblOffset val="100"/>
        <c:noMultiLvlLbl val="0"/>
      </c:catAx>
      <c:valAx>
        <c:axId val="2130784160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30789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2.5777996500437446E-2"/>
                  <c:y val="-0.27840733449985416"/>
                </c:manualLayout>
              </c:layout>
              <c:numFmt formatCode="General" sourceLinked="0"/>
            </c:trendlineLbl>
          </c:trendline>
          <c:cat>
            <c:numRef>
              <c:f>'Persamaan NI 2'!$A$3:$A$53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NI 2'!$C$3:$C$53</c:f>
              <c:numCache>
                <c:formatCode>_(* #,##0.00_);_(* \(#,##0.00\);_(* "-"??_);_(@_)</c:formatCode>
                <c:ptCount val="51"/>
                <c:pt idx="0">
                  <c:v>1171.665</c:v>
                </c:pt>
                <c:pt idx="1">
                  <c:v>1204.452</c:v>
                </c:pt>
                <c:pt idx="2">
                  <c:v>1237.239</c:v>
                </c:pt>
                <c:pt idx="3">
                  <c:v>1271.8609999999999</c:v>
                </c:pt>
                <c:pt idx="4">
                  <c:v>1306.4829999999999</c:v>
                </c:pt>
                <c:pt idx="5">
                  <c:v>1343.0425</c:v>
                </c:pt>
                <c:pt idx="6">
                  <c:v>1379.6020000000001</c:v>
                </c:pt>
                <c:pt idx="7">
                  <c:v>1418.2075</c:v>
                </c:pt>
                <c:pt idx="8">
                  <c:v>1456.8130000000001</c:v>
                </c:pt>
                <c:pt idx="9">
                  <c:v>1497.5790000000002</c:v>
                </c:pt>
                <c:pt idx="10">
                  <c:v>1538.345</c:v>
                </c:pt>
                <c:pt idx="11">
                  <c:v>1581.3924999999999</c:v>
                </c:pt>
                <c:pt idx="12">
                  <c:v>1624.44</c:v>
                </c:pt>
                <c:pt idx="13">
                  <c:v>1669.8969999999999</c:v>
                </c:pt>
                <c:pt idx="14">
                  <c:v>1715.354</c:v>
                </c:pt>
                <c:pt idx="15">
                  <c:v>1763.355</c:v>
                </c:pt>
                <c:pt idx="16">
                  <c:v>1811.356</c:v>
                </c:pt>
                <c:pt idx="17">
                  <c:v>1862.0435</c:v>
                </c:pt>
                <c:pt idx="18">
                  <c:v>1912.731</c:v>
                </c:pt>
                <c:pt idx="19">
                  <c:v>1966.2550000000001</c:v>
                </c:pt>
                <c:pt idx="20">
                  <c:v>2019.779</c:v>
                </c:pt>
                <c:pt idx="21">
                  <c:v>2076.299</c:v>
                </c:pt>
                <c:pt idx="22">
                  <c:v>2132.819</c:v>
                </c:pt>
                <c:pt idx="23">
                  <c:v>1809.223</c:v>
                </c:pt>
                <c:pt idx="24">
                  <c:v>1485.627</c:v>
                </c:pt>
                <c:pt idx="25">
                  <c:v>897.17699999999991</c:v>
                </c:pt>
                <c:pt idx="26">
                  <c:v>308.72699999999998</c:v>
                </c:pt>
                <c:pt idx="27">
                  <c:v>291.86199999999997</c:v>
                </c:pt>
                <c:pt idx="28">
                  <c:v>274.99700000000001</c:v>
                </c:pt>
                <c:pt idx="29">
                  <c:v>460.04200000000003</c:v>
                </c:pt>
                <c:pt idx="30">
                  <c:v>645.08699999999999</c:v>
                </c:pt>
                <c:pt idx="31">
                  <c:v>596.84100000000001</c:v>
                </c:pt>
                <c:pt idx="32">
                  <c:v>548.59500000000003</c:v>
                </c:pt>
                <c:pt idx="33">
                  <c:v>1017.111</c:v>
                </c:pt>
                <c:pt idx="34">
                  <c:v>1485.627</c:v>
                </c:pt>
                <c:pt idx="35">
                  <c:v>1636.4634999999998</c:v>
                </c:pt>
                <c:pt idx="36">
                  <c:v>1787.3</c:v>
                </c:pt>
                <c:pt idx="37">
                  <c:v>1564.932</c:v>
                </c:pt>
                <c:pt idx="38">
                  <c:v>1342.5640000000001</c:v>
                </c:pt>
                <c:pt idx="39">
                  <c:v>1288.5965000000001</c:v>
                </c:pt>
                <c:pt idx="40">
                  <c:v>1234.6289999999999</c:v>
                </c:pt>
                <c:pt idx="41">
                  <c:v>1261.61275</c:v>
                </c:pt>
                <c:pt idx="42">
                  <c:v>1153.28751277584</c:v>
                </c:pt>
                <c:pt idx="43">
                  <c:v>1143.9187993612099</c:v>
                </c:pt>
                <c:pt idx="44">
                  <c:v>1134.5500859465701</c:v>
                </c:pt>
                <c:pt idx="45">
                  <c:v>1125.18137253194</c:v>
                </c:pt>
                <c:pt idx="46">
                  <c:v>1115.81265911731</c:v>
                </c:pt>
                <c:pt idx="47">
                  <c:v>1106.4439457026699</c:v>
                </c:pt>
                <c:pt idx="48">
                  <c:v>1097.0752322880401</c:v>
                </c:pt>
                <c:pt idx="49">
                  <c:v>1087.7065188734</c:v>
                </c:pt>
                <c:pt idx="50">
                  <c:v>1078.3378054587699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B-479A-B08A-2DFFF400E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786336"/>
        <c:axId val="2130790144"/>
      </c:lineChart>
      <c:catAx>
        <c:axId val="2130786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790144"/>
        <c:crosses val="autoZero"/>
        <c:auto val="1"/>
        <c:lblAlgn val="ctr"/>
        <c:lblOffset val="100"/>
        <c:noMultiLvlLbl val="0"/>
      </c:catAx>
      <c:valAx>
        <c:axId val="2130790144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2130786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'Persamaan NI 3'!$B$3:$B$53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NI 3'!$C$3:$C$53</c:f>
              <c:numCache>
                <c:formatCode>_(* #,##0.00_);_(* \(#,##0.00\);_(* "-"??_);_(@_)</c:formatCode>
                <c:ptCount val="51"/>
                <c:pt idx="0">
                  <c:v>922.22699999999998</c:v>
                </c:pt>
                <c:pt idx="1">
                  <c:v>942.44299999999998</c:v>
                </c:pt>
                <c:pt idx="2">
                  <c:v>962.65899999999999</c:v>
                </c:pt>
                <c:pt idx="3">
                  <c:v>968.505</c:v>
                </c:pt>
                <c:pt idx="4">
                  <c:v>974.351</c:v>
                </c:pt>
                <c:pt idx="5">
                  <c:v>977.78500000000008</c:v>
                </c:pt>
                <c:pt idx="6">
                  <c:v>981.21900000000005</c:v>
                </c:pt>
                <c:pt idx="7">
                  <c:v>986.17499999999995</c:v>
                </c:pt>
                <c:pt idx="8">
                  <c:v>991.13099999999997</c:v>
                </c:pt>
                <c:pt idx="9">
                  <c:v>995.12750000000005</c:v>
                </c:pt>
                <c:pt idx="10">
                  <c:v>999.12400000000002</c:v>
                </c:pt>
                <c:pt idx="11">
                  <c:v>1001.634</c:v>
                </c:pt>
                <c:pt idx="12">
                  <c:v>1004.144</c:v>
                </c:pt>
                <c:pt idx="13">
                  <c:v>1007.6835</c:v>
                </c:pt>
                <c:pt idx="14">
                  <c:v>1011.223</c:v>
                </c:pt>
                <c:pt idx="15">
                  <c:v>1011.729</c:v>
                </c:pt>
                <c:pt idx="16">
                  <c:v>1012.235</c:v>
                </c:pt>
                <c:pt idx="17">
                  <c:v>1013.2495</c:v>
                </c:pt>
                <c:pt idx="18">
                  <c:v>1014.264</c:v>
                </c:pt>
                <c:pt idx="19">
                  <c:v>1017.8389999999999</c:v>
                </c:pt>
                <c:pt idx="20">
                  <c:v>1021.414</c:v>
                </c:pt>
                <c:pt idx="21">
                  <c:v>1027.617</c:v>
                </c:pt>
                <c:pt idx="22">
                  <c:v>1033.82</c:v>
                </c:pt>
                <c:pt idx="23">
                  <c:v>1677.2984999999999</c:v>
                </c:pt>
                <c:pt idx="24">
                  <c:v>2320.777</c:v>
                </c:pt>
                <c:pt idx="25">
                  <c:v>2215.1265000000003</c:v>
                </c:pt>
                <c:pt idx="26">
                  <c:v>2109.4760000000001</c:v>
                </c:pt>
                <c:pt idx="27">
                  <c:v>1864.6534999999999</c:v>
                </c:pt>
                <c:pt idx="28">
                  <c:v>1619.8309999999999</c:v>
                </c:pt>
                <c:pt idx="29">
                  <c:v>1619.8305</c:v>
                </c:pt>
                <c:pt idx="30">
                  <c:v>1619.83</c:v>
                </c:pt>
                <c:pt idx="31">
                  <c:v>1472.271</c:v>
                </c:pt>
                <c:pt idx="32">
                  <c:v>1324.712</c:v>
                </c:pt>
                <c:pt idx="33">
                  <c:v>1471.453</c:v>
                </c:pt>
                <c:pt idx="34">
                  <c:v>1618.194</c:v>
                </c:pt>
                <c:pt idx="35">
                  <c:v>1281.8630000000001</c:v>
                </c:pt>
                <c:pt idx="36">
                  <c:v>945.53200000000004</c:v>
                </c:pt>
                <c:pt idx="37">
                  <c:v>1569.7485000000001</c:v>
                </c:pt>
                <c:pt idx="38">
                  <c:v>2193.9650000000001</c:v>
                </c:pt>
                <c:pt idx="39">
                  <c:v>1813.3120725000001</c:v>
                </c:pt>
                <c:pt idx="40">
                  <c:v>1432.6591450000001</c:v>
                </c:pt>
                <c:pt idx="41">
                  <c:v>1622.9856087500002</c:v>
                </c:pt>
                <c:pt idx="42">
                  <c:v>1779.1902879007</c:v>
                </c:pt>
                <c:pt idx="43">
                  <c:v>1801.39945209292</c:v>
                </c:pt>
                <c:pt idx="44">
                  <c:v>1823.60861628515</c:v>
                </c:pt>
                <c:pt idx="45">
                  <c:v>1845.81778047737</c:v>
                </c:pt>
                <c:pt idx="46">
                  <c:v>1868.02694466959</c:v>
                </c:pt>
                <c:pt idx="47">
                  <c:v>1890.23610886182</c:v>
                </c:pt>
                <c:pt idx="48">
                  <c:v>1912.4452730540399</c:v>
                </c:pt>
                <c:pt idx="49">
                  <c:v>1934.6544372462699</c:v>
                </c:pt>
                <c:pt idx="50">
                  <c:v>1956.8636014384999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0-436F-8D14-33A968F51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51120"/>
        <c:axId val="2128750576"/>
      </c:lineChart>
      <c:catAx>
        <c:axId val="21287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128750576"/>
        <c:crosses val="autoZero"/>
        <c:auto val="1"/>
        <c:lblAlgn val="ctr"/>
        <c:lblOffset val="100"/>
        <c:noMultiLvlLbl val="0"/>
      </c:catAx>
      <c:valAx>
        <c:axId val="2128750576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2128751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065179352581"/>
                  <c:y val="1.50528579760863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'Persamaan 1'!$A$3:$A$53</c:f>
              <c:strCach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strCache>
            </c:strRef>
          </c:cat>
          <c:val>
            <c:numRef>
              <c:f>'Persamaan 1'!$C$3:$C$53</c:f>
              <c:numCache>
                <c:formatCode>0.00</c:formatCode>
                <c:ptCount val="51"/>
                <c:pt idx="0">
                  <c:v>375.798</c:v>
                </c:pt>
                <c:pt idx="1">
                  <c:v>377.77300000000002</c:v>
                </c:pt>
                <c:pt idx="2">
                  <c:v>379.74799999999999</c:v>
                </c:pt>
                <c:pt idx="3">
                  <c:v>399.44799999999998</c:v>
                </c:pt>
                <c:pt idx="4">
                  <c:v>419.14800000000002</c:v>
                </c:pt>
                <c:pt idx="5">
                  <c:v>428.79349999999999</c:v>
                </c:pt>
                <c:pt idx="6">
                  <c:v>438.43900000000002</c:v>
                </c:pt>
                <c:pt idx="7">
                  <c:v>455.95749999999998</c:v>
                </c:pt>
                <c:pt idx="8">
                  <c:v>473.476</c:v>
                </c:pt>
                <c:pt idx="9">
                  <c:v>486.99</c:v>
                </c:pt>
                <c:pt idx="10">
                  <c:v>500.50400000000002</c:v>
                </c:pt>
                <c:pt idx="11">
                  <c:v>511.47550000000001</c:v>
                </c:pt>
                <c:pt idx="12">
                  <c:v>522.447</c:v>
                </c:pt>
                <c:pt idx="13">
                  <c:v>546.71399999999994</c:v>
                </c:pt>
                <c:pt idx="14">
                  <c:v>570.98099999999999</c:v>
                </c:pt>
                <c:pt idx="15">
                  <c:v>593.46299999999997</c:v>
                </c:pt>
                <c:pt idx="16">
                  <c:v>615.94500000000005</c:v>
                </c:pt>
                <c:pt idx="17">
                  <c:v>638.06100000000004</c:v>
                </c:pt>
                <c:pt idx="18">
                  <c:v>660.17700000000002</c:v>
                </c:pt>
                <c:pt idx="19">
                  <c:v>674.28899999999999</c:v>
                </c:pt>
                <c:pt idx="20">
                  <c:v>688.40099999999995</c:v>
                </c:pt>
                <c:pt idx="21">
                  <c:v>695.78449999999998</c:v>
                </c:pt>
                <c:pt idx="22">
                  <c:v>703.16800000000001</c:v>
                </c:pt>
                <c:pt idx="23">
                  <c:v>708.73749999999995</c:v>
                </c:pt>
                <c:pt idx="24">
                  <c:v>714.30700000000002</c:v>
                </c:pt>
                <c:pt idx="25">
                  <c:v>705.82550000000003</c:v>
                </c:pt>
                <c:pt idx="26">
                  <c:v>697.34400000000005</c:v>
                </c:pt>
                <c:pt idx="27">
                  <c:v>687.03400000000011</c:v>
                </c:pt>
                <c:pt idx="28">
                  <c:v>676.72400000000005</c:v>
                </c:pt>
                <c:pt idx="29">
                  <c:v>704.26750000000004</c:v>
                </c:pt>
                <c:pt idx="30">
                  <c:v>731.81100000000004</c:v>
                </c:pt>
                <c:pt idx="31">
                  <c:v>779.25340000000006</c:v>
                </c:pt>
                <c:pt idx="32">
                  <c:v>826.69580000000008</c:v>
                </c:pt>
                <c:pt idx="33">
                  <c:v>845.48955000000001</c:v>
                </c:pt>
                <c:pt idx="34">
                  <c:v>864.28330000000005</c:v>
                </c:pt>
                <c:pt idx="35">
                  <c:v>879.21669999999995</c:v>
                </c:pt>
                <c:pt idx="36">
                  <c:v>894.15009999999995</c:v>
                </c:pt>
                <c:pt idx="37">
                  <c:v>854.62304999999992</c:v>
                </c:pt>
                <c:pt idx="38">
                  <c:v>815.096</c:v>
                </c:pt>
                <c:pt idx="39">
                  <c:v>835.47340000000008</c:v>
                </c:pt>
                <c:pt idx="40">
                  <c:v>855.85080000000005</c:v>
                </c:pt>
                <c:pt idx="41">
                  <c:v>845.66210000000001</c:v>
                </c:pt>
                <c:pt idx="42">
                  <c:v>894.18411000000003</c:v>
                </c:pt>
                <c:pt idx="43">
                  <c:v>923.52228000000002</c:v>
                </c:pt>
                <c:pt idx="44">
                  <c:v>952.86045000000001</c:v>
                </c:pt>
                <c:pt idx="45">
                  <c:v>982.19862000000001</c:v>
                </c:pt>
                <c:pt idx="46">
                  <c:v>925.13808619047597</c:v>
                </c:pt>
                <c:pt idx="47">
                  <c:v>951.12685593073502</c:v>
                </c:pt>
                <c:pt idx="48">
                  <c:v>977.11562567099497</c:v>
                </c:pt>
                <c:pt idx="49">
                  <c:v>1003.10439541126</c:v>
                </c:pt>
                <c:pt idx="50">
                  <c:v>1029.09316515152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8-48DD-8BA0-995451AA5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767936"/>
        <c:axId val="1972768480"/>
      </c:lineChart>
      <c:catAx>
        <c:axId val="197276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768480"/>
        <c:crosses val="autoZero"/>
        <c:auto val="1"/>
        <c:lblAlgn val="ctr"/>
        <c:lblOffset val="100"/>
        <c:noMultiLvlLbl val="0"/>
      </c:catAx>
      <c:valAx>
        <c:axId val="197276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76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'Persamaan 2'!$A$3:$A$58</c:f>
              <c:numCache>
                <c:formatCode>General</c:formatCode>
                <c:ptCount val="56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</c:v>
                </c:pt>
                <c:pt idx="28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  <c:pt idx="40">
                  <c:v>0</c:v>
                </c:pt>
                <c:pt idx="42">
                  <c:v>2021</c:v>
                </c:pt>
                <c:pt idx="44">
                  <c:v>2022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7-4E0F-BEE9-1416BB6A514B}"/>
            </c:ext>
          </c:extLst>
        </c:ser>
        <c:ser>
          <c:idx val="1"/>
          <c:order val="1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7.4390857392825901E-2"/>
                  <c:y val="-0.15989975211431903"/>
                </c:manualLayout>
              </c:layout>
              <c:numFmt formatCode="General" sourceLinked="0"/>
            </c:trendlineLbl>
          </c:trendline>
          <c:val>
            <c:numRef>
              <c:f>'Persamaan 2'!$B$3:$B$53</c:f>
              <c:numCache>
                <c:formatCode>#,##0.00</c:formatCode>
                <c:ptCount val="51"/>
                <c:pt idx="0">
                  <c:v>31.33</c:v>
                </c:pt>
                <c:pt idx="1">
                  <c:v>33.465000000000003</c:v>
                </c:pt>
                <c:pt idx="2">
                  <c:v>35.6</c:v>
                </c:pt>
                <c:pt idx="3">
                  <c:v>37.19</c:v>
                </c:pt>
                <c:pt idx="4">
                  <c:v>38.78</c:v>
                </c:pt>
                <c:pt idx="5">
                  <c:v>40.284999999999997</c:v>
                </c:pt>
                <c:pt idx="6">
                  <c:v>41.79</c:v>
                </c:pt>
                <c:pt idx="7">
                  <c:v>44.64</c:v>
                </c:pt>
                <c:pt idx="8">
                  <c:v>47.49</c:v>
                </c:pt>
                <c:pt idx="9">
                  <c:v>48.534999999999997</c:v>
                </c:pt>
                <c:pt idx="10">
                  <c:v>49.58</c:v>
                </c:pt>
                <c:pt idx="11">
                  <c:v>49.265000000000001</c:v>
                </c:pt>
                <c:pt idx="12">
                  <c:v>48.95</c:v>
                </c:pt>
                <c:pt idx="13">
                  <c:v>49.234999999999999</c:v>
                </c:pt>
                <c:pt idx="14">
                  <c:v>49.52</c:v>
                </c:pt>
                <c:pt idx="15">
                  <c:v>50.14</c:v>
                </c:pt>
                <c:pt idx="16">
                  <c:v>50.76</c:v>
                </c:pt>
                <c:pt idx="17">
                  <c:v>51.47</c:v>
                </c:pt>
                <c:pt idx="18">
                  <c:v>52.18</c:v>
                </c:pt>
                <c:pt idx="19">
                  <c:v>50.064999999999998</c:v>
                </c:pt>
                <c:pt idx="20">
                  <c:v>47.95</c:v>
                </c:pt>
                <c:pt idx="21">
                  <c:v>48.44</c:v>
                </c:pt>
                <c:pt idx="22">
                  <c:v>48.93</c:v>
                </c:pt>
                <c:pt idx="23">
                  <c:v>49.33</c:v>
                </c:pt>
                <c:pt idx="24">
                  <c:v>49.73</c:v>
                </c:pt>
                <c:pt idx="25">
                  <c:v>50.47</c:v>
                </c:pt>
                <c:pt idx="26">
                  <c:v>51.21</c:v>
                </c:pt>
                <c:pt idx="27">
                  <c:v>51.394999999999996</c:v>
                </c:pt>
                <c:pt idx="28">
                  <c:v>51.58</c:v>
                </c:pt>
                <c:pt idx="29">
                  <c:v>52.224999999999994</c:v>
                </c:pt>
                <c:pt idx="30">
                  <c:v>52.87</c:v>
                </c:pt>
                <c:pt idx="31">
                  <c:v>52.97</c:v>
                </c:pt>
                <c:pt idx="32">
                  <c:v>53.07</c:v>
                </c:pt>
                <c:pt idx="33">
                  <c:v>53.55</c:v>
                </c:pt>
                <c:pt idx="34">
                  <c:v>54.03</c:v>
                </c:pt>
                <c:pt idx="35">
                  <c:v>53.1</c:v>
                </c:pt>
                <c:pt idx="36">
                  <c:v>52.17</c:v>
                </c:pt>
                <c:pt idx="37">
                  <c:v>50.650000000000006</c:v>
                </c:pt>
                <c:pt idx="38">
                  <c:v>49.13</c:v>
                </c:pt>
                <c:pt idx="39">
                  <c:v>49.695</c:v>
                </c:pt>
                <c:pt idx="40">
                  <c:v>50.26</c:v>
                </c:pt>
                <c:pt idx="41">
                  <c:v>49.977499999999999</c:v>
                </c:pt>
                <c:pt idx="42">
                  <c:v>53.76</c:v>
                </c:pt>
                <c:pt idx="43">
                  <c:v>52.11</c:v>
                </c:pt>
                <c:pt idx="44">
                  <c:v>50.33</c:v>
                </c:pt>
                <c:pt idx="45">
                  <c:v>50.33</c:v>
                </c:pt>
                <c:pt idx="46">
                  <c:v>56.006380952380901</c:v>
                </c:pt>
                <c:pt idx="47">
                  <c:v>56.738952380952298</c:v>
                </c:pt>
                <c:pt idx="48">
                  <c:v>57.471523809523802</c:v>
                </c:pt>
                <c:pt idx="49">
                  <c:v>58.204095238095199</c:v>
                </c:pt>
                <c:pt idx="50">
                  <c:v>58.936666666666603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7-4E0F-BEE9-1416BB6A5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757056"/>
        <c:axId val="1972757600"/>
      </c:lineChart>
      <c:catAx>
        <c:axId val="1972757056"/>
        <c:scaling>
          <c:orientation val="minMax"/>
        </c:scaling>
        <c:delete val="0"/>
        <c:axPos val="b"/>
        <c:majorTickMark val="none"/>
        <c:minorTickMark val="none"/>
        <c:tickLblPos val="nextTo"/>
        <c:crossAx val="1972757600"/>
        <c:crosses val="autoZero"/>
        <c:auto val="1"/>
        <c:lblAlgn val="ctr"/>
        <c:lblOffset val="100"/>
        <c:noMultiLvlLbl val="0"/>
      </c:catAx>
      <c:valAx>
        <c:axId val="1972757600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972757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</a:p>
          <a:p>
            <a:pPr>
              <a:defRPr/>
            </a:pP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'Persamaan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87-44A9-A19A-2B83E2B97DA6}"/>
            </c:ext>
          </c:extLst>
        </c:ser>
        <c:ser>
          <c:idx val="1"/>
          <c:order val="1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7.3022747156605422E-3"/>
                  <c:y val="0.14849044911052786"/>
                </c:manualLayout>
              </c:layout>
              <c:numFmt formatCode="General" sourceLinked="0"/>
            </c:trendlineLbl>
          </c:trendline>
          <c:val>
            <c:numRef>
              <c:f>'Persamaan 3'!$C$3:$C$58</c:f>
              <c:numCache>
                <c:formatCode>#,##0</c:formatCode>
                <c:ptCount val="56"/>
                <c:pt idx="0">
                  <c:v>129</c:v>
                </c:pt>
                <c:pt idx="1">
                  <c:v>128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127.5</c:v>
                </c:pt>
                <c:pt idx="6">
                  <c:v>126</c:v>
                </c:pt>
                <c:pt idx="7">
                  <c:v>123</c:v>
                </c:pt>
                <c:pt idx="8">
                  <c:v>120</c:v>
                </c:pt>
                <c:pt idx="9">
                  <c:v>123.5</c:v>
                </c:pt>
                <c:pt idx="10">
                  <c:v>127</c:v>
                </c:pt>
                <c:pt idx="11">
                  <c:v>126.5</c:v>
                </c:pt>
                <c:pt idx="12">
                  <c:v>126</c:v>
                </c:pt>
                <c:pt idx="13">
                  <c:v>123</c:v>
                </c:pt>
                <c:pt idx="14">
                  <c:v>120</c:v>
                </c:pt>
                <c:pt idx="15">
                  <c:v>123.5</c:v>
                </c:pt>
                <c:pt idx="16">
                  <c:v>127</c:v>
                </c:pt>
                <c:pt idx="17">
                  <c:v>129.5</c:v>
                </c:pt>
                <c:pt idx="18">
                  <c:v>132</c:v>
                </c:pt>
                <c:pt idx="19">
                  <c:v>126</c:v>
                </c:pt>
                <c:pt idx="20">
                  <c:v>120</c:v>
                </c:pt>
                <c:pt idx="21">
                  <c:v>122.5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151</c:v>
                </c:pt>
                <c:pt idx="26">
                  <c:v>167</c:v>
                </c:pt>
                <c:pt idx="27">
                  <c:v>159</c:v>
                </c:pt>
                <c:pt idx="28">
                  <c:v>151</c:v>
                </c:pt>
                <c:pt idx="29">
                  <c:v>137</c:v>
                </c:pt>
                <c:pt idx="30">
                  <c:v>123</c:v>
                </c:pt>
                <c:pt idx="31">
                  <c:v>122.5</c:v>
                </c:pt>
                <c:pt idx="32">
                  <c:v>122</c:v>
                </c:pt>
                <c:pt idx="33">
                  <c:v>123.5</c:v>
                </c:pt>
                <c:pt idx="34">
                  <c:v>125</c:v>
                </c:pt>
                <c:pt idx="35">
                  <c:v>130</c:v>
                </c:pt>
                <c:pt idx="36">
                  <c:v>135</c:v>
                </c:pt>
                <c:pt idx="37">
                  <c:v>134</c:v>
                </c:pt>
                <c:pt idx="38">
                  <c:v>133</c:v>
                </c:pt>
                <c:pt idx="39">
                  <c:v>130</c:v>
                </c:pt>
                <c:pt idx="40">
                  <c:v>127</c:v>
                </c:pt>
                <c:pt idx="41">
                  <c:v>128.5</c:v>
                </c:pt>
                <c:pt idx="42">
                  <c:v>121.856209150327</c:v>
                </c:pt>
                <c:pt idx="43">
                  <c:v>120.452184382525</c:v>
                </c:pt>
                <c:pt idx="44">
                  <c:v>129.04815961472301</c:v>
                </c:pt>
                <c:pt idx="45">
                  <c:v>127.64413484692101</c:v>
                </c:pt>
                <c:pt idx="46">
                  <c:v>134.33809523809501</c:v>
                </c:pt>
                <c:pt idx="47">
                  <c:v>134.74978354978401</c:v>
                </c:pt>
                <c:pt idx="48">
                  <c:v>135.16147186147199</c:v>
                </c:pt>
                <c:pt idx="49">
                  <c:v>135.57316017316001</c:v>
                </c:pt>
                <c:pt idx="50">
                  <c:v>135.98484848484799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87-44A9-A19A-2B83E2B97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758144"/>
        <c:axId val="1972769568"/>
      </c:lineChart>
      <c:catAx>
        <c:axId val="1972758144"/>
        <c:scaling>
          <c:orientation val="minMax"/>
        </c:scaling>
        <c:delete val="0"/>
        <c:axPos val="b"/>
        <c:majorTickMark val="none"/>
        <c:minorTickMark val="none"/>
        <c:tickLblPos val="nextTo"/>
        <c:crossAx val="1972769568"/>
        <c:crosses val="autoZero"/>
        <c:auto val="1"/>
        <c:lblAlgn val="ctr"/>
        <c:lblOffset val="100"/>
        <c:noMultiLvlLbl val="0"/>
      </c:catAx>
      <c:valAx>
        <c:axId val="1972769568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972758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Simuulasi Peramlalan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9.9306211723534557E-2"/>
                  <c:y val="0.30864319043452904"/>
                </c:manualLayout>
              </c:layout>
              <c:numFmt formatCode="General" sourceLinked="0"/>
            </c:trendlineLbl>
          </c:trendline>
          <c:cat>
            <c:numRef>
              <c:f>'Persamaan 4'!$B$3:$B$53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4'!$D$3:$D$53</c:f>
              <c:numCache>
                <c:formatCode>#,##0.00</c:formatCode>
                <c:ptCount val="51"/>
                <c:pt idx="0">
                  <c:v>59.86</c:v>
                </c:pt>
                <c:pt idx="1">
                  <c:v>59.81</c:v>
                </c:pt>
                <c:pt idx="2">
                  <c:v>59.76</c:v>
                </c:pt>
                <c:pt idx="3">
                  <c:v>58.7</c:v>
                </c:pt>
                <c:pt idx="4">
                  <c:v>57.64</c:v>
                </c:pt>
                <c:pt idx="5">
                  <c:v>58.695</c:v>
                </c:pt>
                <c:pt idx="6">
                  <c:v>59.75</c:v>
                </c:pt>
                <c:pt idx="7">
                  <c:v>59.25</c:v>
                </c:pt>
                <c:pt idx="8">
                  <c:v>58.75</c:v>
                </c:pt>
                <c:pt idx="9">
                  <c:v>59.489999999999995</c:v>
                </c:pt>
                <c:pt idx="10">
                  <c:v>60.23</c:v>
                </c:pt>
                <c:pt idx="11">
                  <c:v>61.489999999999995</c:v>
                </c:pt>
                <c:pt idx="12">
                  <c:v>62.75</c:v>
                </c:pt>
                <c:pt idx="13">
                  <c:v>62.2</c:v>
                </c:pt>
                <c:pt idx="14">
                  <c:v>61.65</c:v>
                </c:pt>
                <c:pt idx="15">
                  <c:v>61.314999999999998</c:v>
                </c:pt>
                <c:pt idx="16">
                  <c:v>60.98</c:v>
                </c:pt>
                <c:pt idx="17">
                  <c:v>61.914999999999999</c:v>
                </c:pt>
                <c:pt idx="18">
                  <c:v>62.85</c:v>
                </c:pt>
                <c:pt idx="19">
                  <c:v>60.814999999999998</c:v>
                </c:pt>
                <c:pt idx="20">
                  <c:v>58.78</c:v>
                </c:pt>
                <c:pt idx="21">
                  <c:v>59.625</c:v>
                </c:pt>
                <c:pt idx="22">
                  <c:v>60.47</c:v>
                </c:pt>
                <c:pt idx="23">
                  <c:v>62.62</c:v>
                </c:pt>
                <c:pt idx="24">
                  <c:v>64.77</c:v>
                </c:pt>
                <c:pt idx="25">
                  <c:v>62.22</c:v>
                </c:pt>
                <c:pt idx="26">
                  <c:v>59.67</c:v>
                </c:pt>
                <c:pt idx="27">
                  <c:v>57.46</c:v>
                </c:pt>
                <c:pt idx="28">
                  <c:v>55.25</c:v>
                </c:pt>
                <c:pt idx="29">
                  <c:v>58.44</c:v>
                </c:pt>
                <c:pt idx="30">
                  <c:v>61.63</c:v>
                </c:pt>
                <c:pt idx="31">
                  <c:v>60.269999999999996</c:v>
                </c:pt>
                <c:pt idx="32">
                  <c:v>58.91</c:v>
                </c:pt>
                <c:pt idx="33">
                  <c:v>63.059999999999995</c:v>
                </c:pt>
                <c:pt idx="34">
                  <c:v>67.209999999999994</c:v>
                </c:pt>
                <c:pt idx="35">
                  <c:v>68.509999999999991</c:v>
                </c:pt>
                <c:pt idx="36">
                  <c:v>69.81</c:v>
                </c:pt>
                <c:pt idx="37">
                  <c:v>75.625</c:v>
                </c:pt>
                <c:pt idx="38">
                  <c:v>81.44</c:v>
                </c:pt>
                <c:pt idx="39">
                  <c:v>76.64</c:v>
                </c:pt>
                <c:pt idx="40">
                  <c:v>71.84</c:v>
                </c:pt>
                <c:pt idx="41">
                  <c:v>74.240000000000009</c:v>
                </c:pt>
                <c:pt idx="42">
                  <c:v>69.328455284552902</c:v>
                </c:pt>
                <c:pt idx="43">
                  <c:v>69.6334443454069</c:v>
                </c:pt>
                <c:pt idx="44">
                  <c:v>69.938433406260998</c:v>
                </c:pt>
                <c:pt idx="45">
                  <c:v>70.243422467115096</c:v>
                </c:pt>
                <c:pt idx="46" formatCode="General">
                  <c:v>70.548411527969094</c:v>
                </c:pt>
                <c:pt idx="47" formatCode="General">
                  <c:v>70.853400588823206</c:v>
                </c:pt>
                <c:pt idx="48" formatCode="General">
                  <c:v>71.158389649677304</c:v>
                </c:pt>
                <c:pt idx="49" formatCode="General">
                  <c:v>71.463378710531302</c:v>
                </c:pt>
                <c:pt idx="50" formatCode="General">
                  <c:v>71.7683677713854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AE-4E5A-ADC3-25341B2A9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781440"/>
        <c:axId val="2130787424"/>
      </c:lineChart>
      <c:catAx>
        <c:axId val="2130781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787424"/>
        <c:crosses val="autoZero"/>
        <c:auto val="1"/>
        <c:lblAlgn val="ctr"/>
        <c:lblOffset val="100"/>
        <c:noMultiLvlLbl val="0"/>
      </c:catAx>
      <c:valAx>
        <c:axId val="2130787424"/>
        <c:scaling>
          <c:orientation val="minMax"/>
        </c:scaling>
        <c:delete val="0"/>
        <c:axPos val="l"/>
        <c:majorGridlines/>
        <c:title>
          <c:overlay val="0"/>
        </c:title>
        <c:numFmt formatCode="#,##0.00" sourceLinked="1"/>
        <c:majorTickMark val="none"/>
        <c:minorTickMark val="none"/>
        <c:tickLblPos val="nextTo"/>
        <c:crossAx val="2130781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1.7576334208223972E-2"/>
                  <c:y val="0.35149278215223095"/>
                </c:manualLayout>
              </c:layout>
              <c:numFmt formatCode="General" sourceLinked="0"/>
            </c:trendlineLbl>
          </c:trendline>
          <c:cat>
            <c:numRef>
              <c:f>'Persamaan 5'!$A$3:$A$53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5'!$C$3:$C$53</c:f>
              <c:numCache>
                <c:formatCode>#,##0</c:formatCode>
                <c:ptCount val="51"/>
                <c:pt idx="0">
                  <c:v>27275.254000000001</c:v>
                </c:pt>
                <c:pt idx="1">
                  <c:v>27553.573</c:v>
                </c:pt>
                <c:pt idx="2">
                  <c:v>27831.892</c:v>
                </c:pt>
                <c:pt idx="3">
                  <c:v>28058.1675</c:v>
                </c:pt>
                <c:pt idx="4">
                  <c:v>28284.442999999999</c:v>
                </c:pt>
                <c:pt idx="5">
                  <c:v>28441.737999999998</c:v>
                </c:pt>
                <c:pt idx="6">
                  <c:v>28599.032999999999</c:v>
                </c:pt>
                <c:pt idx="7">
                  <c:v>28802.068500000001</c:v>
                </c:pt>
                <c:pt idx="8">
                  <c:v>29005.103999999999</c:v>
                </c:pt>
                <c:pt idx="9">
                  <c:v>29151.594499999999</c:v>
                </c:pt>
                <c:pt idx="10">
                  <c:v>29298.084999999999</c:v>
                </c:pt>
                <c:pt idx="11">
                  <c:v>29536.280999999999</c:v>
                </c:pt>
                <c:pt idx="12">
                  <c:v>29774.476999999999</c:v>
                </c:pt>
                <c:pt idx="13">
                  <c:v>30016.546000000002</c:v>
                </c:pt>
                <c:pt idx="14">
                  <c:v>30258.615000000002</c:v>
                </c:pt>
                <c:pt idx="15">
                  <c:v>30442.371500000001</c:v>
                </c:pt>
                <c:pt idx="16">
                  <c:v>30626.128000000001</c:v>
                </c:pt>
                <c:pt idx="17">
                  <c:v>30890.952000000001</c:v>
                </c:pt>
                <c:pt idx="18">
                  <c:v>31155.776000000002</c:v>
                </c:pt>
                <c:pt idx="19">
                  <c:v>31329.039000000001</c:v>
                </c:pt>
                <c:pt idx="20">
                  <c:v>31502.302</c:v>
                </c:pt>
                <c:pt idx="21">
                  <c:v>31840.1715</c:v>
                </c:pt>
                <c:pt idx="22">
                  <c:v>32178.041000000001</c:v>
                </c:pt>
                <c:pt idx="23">
                  <c:v>30802.459000000003</c:v>
                </c:pt>
                <c:pt idx="24">
                  <c:v>29426.877</c:v>
                </c:pt>
                <c:pt idx="25">
                  <c:v>30069.7075</c:v>
                </c:pt>
                <c:pt idx="26">
                  <c:v>30712.538</c:v>
                </c:pt>
                <c:pt idx="27">
                  <c:v>32077.205000000002</c:v>
                </c:pt>
                <c:pt idx="28">
                  <c:v>33441.872000000003</c:v>
                </c:pt>
                <c:pt idx="29">
                  <c:v>34821.548500000004</c:v>
                </c:pt>
                <c:pt idx="30">
                  <c:v>36201.224999999999</c:v>
                </c:pt>
                <c:pt idx="31">
                  <c:v>37629.629000000001</c:v>
                </c:pt>
                <c:pt idx="32">
                  <c:v>39058.033000000003</c:v>
                </c:pt>
                <c:pt idx="33">
                  <c:v>43875.9565</c:v>
                </c:pt>
                <c:pt idx="34">
                  <c:v>48693.88</c:v>
                </c:pt>
                <c:pt idx="35">
                  <c:v>51786.388500000001</c:v>
                </c:pt>
                <c:pt idx="36">
                  <c:v>54878.896999999997</c:v>
                </c:pt>
                <c:pt idx="37">
                  <c:v>51847.452499999999</c:v>
                </c:pt>
                <c:pt idx="38">
                  <c:v>48816.008000000002</c:v>
                </c:pt>
                <c:pt idx="39">
                  <c:v>42934.085500000001</c:v>
                </c:pt>
                <c:pt idx="40">
                  <c:v>37052.163</c:v>
                </c:pt>
                <c:pt idx="41">
                  <c:v>39993.124250000001</c:v>
                </c:pt>
                <c:pt idx="42">
                  <c:v>44703.189894889598</c:v>
                </c:pt>
                <c:pt idx="43">
                  <c:v>45192.185768461502</c:v>
                </c:pt>
                <c:pt idx="44">
                  <c:v>45681.181642033298</c:v>
                </c:pt>
                <c:pt idx="45">
                  <c:v>46170.177515605101</c:v>
                </c:pt>
                <c:pt idx="46">
                  <c:v>46659.173389176998</c:v>
                </c:pt>
                <c:pt idx="47">
                  <c:v>47148.169262748903</c:v>
                </c:pt>
                <c:pt idx="48">
                  <c:v>47637.165136320698</c:v>
                </c:pt>
                <c:pt idx="49">
                  <c:v>48126.161009892501</c:v>
                </c:pt>
                <c:pt idx="50">
                  <c:v>48615.156883464399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4C-4F62-96F0-6862B0287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48400"/>
        <c:axId val="2128757104"/>
      </c:lineChart>
      <c:catAx>
        <c:axId val="2128748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28757104"/>
        <c:crosses val="autoZero"/>
        <c:auto val="1"/>
        <c:lblAlgn val="ctr"/>
        <c:lblOffset val="100"/>
        <c:noMultiLvlLbl val="0"/>
      </c:catAx>
      <c:valAx>
        <c:axId val="2128757104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28748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'Persamaan 7'!$A$3:$A$53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8-4B0C-B164-4FAB06247B2B}"/>
            </c:ext>
          </c:extLst>
        </c:ser>
        <c:ser>
          <c:idx val="1"/>
          <c:order val="1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11053455818022748"/>
                  <c:y val="-2.8136847477398658E-2"/>
                </c:manualLayout>
              </c:layout>
              <c:numFmt formatCode="General" sourceLinked="0"/>
            </c:trendlineLbl>
          </c:trendline>
          <c:val>
            <c:numRef>
              <c:f>'Persamaan 7'!$C$3:$C$53</c:f>
              <c:numCache>
                <c:formatCode>#,##0</c:formatCode>
                <c:ptCount val="51"/>
                <c:pt idx="0">
                  <c:v>2073</c:v>
                </c:pt>
                <c:pt idx="1">
                  <c:v>2181.5</c:v>
                </c:pt>
                <c:pt idx="2">
                  <c:v>2290</c:v>
                </c:pt>
                <c:pt idx="3">
                  <c:v>2303</c:v>
                </c:pt>
                <c:pt idx="4">
                  <c:v>2316</c:v>
                </c:pt>
                <c:pt idx="5">
                  <c:v>2506</c:v>
                </c:pt>
                <c:pt idx="6">
                  <c:v>2696</c:v>
                </c:pt>
                <c:pt idx="7">
                  <c:v>2974</c:v>
                </c:pt>
                <c:pt idx="8">
                  <c:v>3252</c:v>
                </c:pt>
                <c:pt idx="9">
                  <c:v>3191</c:v>
                </c:pt>
                <c:pt idx="10">
                  <c:v>3130</c:v>
                </c:pt>
                <c:pt idx="11">
                  <c:v>3209.5</c:v>
                </c:pt>
                <c:pt idx="12">
                  <c:v>3289</c:v>
                </c:pt>
                <c:pt idx="13">
                  <c:v>3441.5</c:v>
                </c:pt>
                <c:pt idx="14">
                  <c:v>3594</c:v>
                </c:pt>
                <c:pt idx="15">
                  <c:v>3673</c:v>
                </c:pt>
                <c:pt idx="16">
                  <c:v>3752</c:v>
                </c:pt>
                <c:pt idx="17">
                  <c:v>3887</c:v>
                </c:pt>
                <c:pt idx="18">
                  <c:v>4022</c:v>
                </c:pt>
                <c:pt idx="19">
                  <c:v>4108</c:v>
                </c:pt>
                <c:pt idx="20">
                  <c:v>4194</c:v>
                </c:pt>
                <c:pt idx="21">
                  <c:v>4270.5</c:v>
                </c:pt>
                <c:pt idx="22">
                  <c:v>4347</c:v>
                </c:pt>
                <c:pt idx="23">
                  <c:v>4520.6499999999996</c:v>
                </c:pt>
                <c:pt idx="24">
                  <c:v>4694.2999999999993</c:v>
                </c:pt>
                <c:pt idx="25">
                  <c:v>4961.1499999999996</c:v>
                </c:pt>
                <c:pt idx="26">
                  <c:v>5228</c:v>
                </c:pt>
                <c:pt idx="27">
                  <c:v>5278</c:v>
                </c:pt>
                <c:pt idx="28">
                  <c:v>5328</c:v>
                </c:pt>
                <c:pt idx="29">
                  <c:v>5477.5</c:v>
                </c:pt>
                <c:pt idx="30">
                  <c:v>5627</c:v>
                </c:pt>
                <c:pt idx="31">
                  <c:v>5875</c:v>
                </c:pt>
                <c:pt idx="32">
                  <c:v>6123</c:v>
                </c:pt>
                <c:pt idx="33">
                  <c:v>6482</c:v>
                </c:pt>
                <c:pt idx="34">
                  <c:v>6841</c:v>
                </c:pt>
                <c:pt idx="35">
                  <c:v>6676.5</c:v>
                </c:pt>
                <c:pt idx="36">
                  <c:v>6512</c:v>
                </c:pt>
                <c:pt idx="37">
                  <c:v>6535</c:v>
                </c:pt>
                <c:pt idx="38">
                  <c:v>6558</c:v>
                </c:pt>
                <c:pt idx="39">
                  <c:v>6377.5</c:v>
                </c:pt>
                <c:pt idx="40">
                  <c:v>6197</c:v>
                </c:pt>
                <c:pt idx="41">
                  <c:v>6287.25</c:v>
                </c:pt>
                <c:pt idx="42">
                  <c:v>7029.09651567944</c:v>
                </c:pt>
                <c:pt idx="43">
                  <c:v>7149.7423669070604</c:v>
                </c:pt>
                <c:pt idx="44">
                  <c:v>7270.3882181346698</c:v>
                </c:pt>
                <c:pt idx="45">
                  <c:v>7391.0340693622902</c:v>
                </c:pt>
                <c:pt idx="46">
                  <c:v>7511.6799205898997</c:v>
                </c:pt>
                <c:pt idx="47">
                  <c:v>7632.32577181752</c:v>
                </c:pt>
                <c:pt idx="48">
                  <c:v>7752.9716230451304</c:v>
                </c:pt>
                <c:pt idx="49">
                  <c:v>7873.6174742727499</c:v>
                </c:pt>
                <c:pt idx="50">
                  <c:v>7994.2633255003602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68-4B0C-B164-4FAB06247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03168"/>
        <c:axId val="2130202624"/>
      </c:lineChart>
      <c:catAx>
        <c:axId val="2130203168"/>
        <c:scaling>
          <c:orientation val="minMax"/>
        </c:scaling>
        <c:delete val="0"/>
        <c:axPos val="b"/>
        <c:majorTickMark val="none"/>
        <c:minorTickMark val="none"/>
        <c:tickLblPos val="nextTo"/>
        <c:crossAx val="2130202624"/>
        <c:crosses val="autoZero"/>
        <c:auto val="1"/>
        <c:lblAlgn val="ctr"/>
        <c:lblOffset val="100"/>
        <c:noMultiLvlLbl val="0"/>
      </c:catAx>
      <c:valAx>
        <c:axId val="2130202624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2130203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26412489063867017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cat>
            <c:numRef>
              <c:f>'Persamaan 10'!$A$3:$A$53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10'!$C$3:$C$53</c:f>
              <c:numCache>
                <c:formatCode>#,##0</c:formatCode>
                <c:ptCount val="51"/>
                <c:pt idx="0" formatCode="#,##0.0">
                  <c:v>7081</c:v>
                </c:pt>
                <c:pt idx="1">
                  <c:v>7132</c:v>
                </c:pt>
                <c:pt idx="2">
                  <c:v>7183</c:v>
                </c:pt>
                <c:pt idx="3">
                  <c:v>7184.5</c:v>
                </c:pt>
                <c:pt idx="4">
                  <c:v>7186</c:v>
                </c:pt>
                <c:pt idx="5">
                  <c:v>7238.5</c:v>
                </c:pt>
                <c:pt idx="6">
                  <c:v>7291</c:v>
                </c:pt>
                <c:pt idx="7">
                  <c:v>7294</c:v>
                </c:pt>
                <c:pt idx="8">
                  <c:v>7297</c:v>
                </c:pt>
                <c:pt idx="9">
                  <c:v>7301.5</c:v>
                </c:pt>
                <c:pt idx="10">
                  <c:v>7306</c:v>
                </c:pt>
                <c:pt idx="11">
                  <c:v>7360.5</c:v>
                </c:pt>
                <c:pt idx="12">
                  <c:v>7415</c:v>
                </c:pt>
                <c:pt idx="13">
                  <c:v>7471</c:v>
                </c:pt>
                <c:pt idx="14">
                  <c:v>7527</c:v>
                </c:pt>
                <c:pt idx="15">
                  <c:v>7533.5</c:v>
                </c:pt>
                <c:pt idx="16">
                  <c:v>7540</c:v>
                </c:pt>
                <c:pt idx="17">
                  <c:v>7597.5</c:v>
                </c:pt>
                <c:pt idx="18">
                  <c:v>7655</c:v>
                </c:pt>
                <c:pt idx="19">
                  <c:v>7913</c:v>
                </c:pt>
                <c:pt idx="20">
                  <c:v>8171</c:v>
                </c:pt>
                <c:pt idx="21">
                  <c:v>8230.5</c:v>
                </c:pt>
                <c:pt idx="22">
                  <c:v>8290</c:v>
                </c:pt>
                <c:pt idx="23">
                  <c:v>8566.5</c:v>
                </c:pt>
                <c:pt idx="24">
                  <c:v>8843</c:v>
                </c:pt>
                <c:pt idx="25">
                  <c:v>9117</c:v>
                </c:pt>
                <c:pt idx="26">
                  <c:v>9391</c:v>
                </c:pt>
                <c:pt idx="27">
                  <c:v>9749.5</c:v>
                </c:pt>
                <c:pt idx="28">
                  <c:v>10108</c:v>
                </c:pt>
                <c:pt idx="29">
                  <c:v>10751.5</c:v>
                </c:pt>
                <c:pt idx="30">
                  <c:v>11395</c:v>
                </c:pt>
                <c:pt idx="31">
                  <c:v>11728</c:v>
                </c:pt>
                <c:pt idx="32">
                  <c:v>12061</c:v>
                </c:pt>
                <c:pt idx="33">
                  <c:v>12123</c:v>
                </c:pt>
                <c:pt idx="34">
                  <c:v>12185</c:v>
                </c:pt>
                <c:pt idx="35">
                  <c:v>12494.5</c:v>
                </c:pt>
                <c:pt idx="36">
                  <c:v>12804</c:v>
                </c:pt>
                <c:pt idx="37">
                  <c:v>12847.5</c:v>
                </c:pt>
                <c:pt idx="38">
                  <c:v>12891</c:v>
                </c:pt>
                <c:pt idx="39">
                  <c:v>13013.5</c:v>
                </c:pt>
                <c:pt idx="40">
                  <c:v>13136</c:v>
                </c:pt>
                <c:pt idx="41">
                  <c:v>13074.75</c:v>
                </c:pt>
                <c:pt idx="42">
                  <c:v>12928.1759581882</c:v>
                </c:pt>
                <c:pt idx="43">
                  <c:v>13099.277996110501</c:v>
                </c:pt>
                <c:pt idx="44">
                  <c:v>13270.3800340329</c:v>
                </c:pt>
                <c:pt idx="45">
                  <c:v>13441.482071955301</c:v>
                </c:pt>
                <c:pt idx="46">
                  <c:v>13612.5841098776</c:v>
                </c:pt>
                <c:pt idx="47">
                  <c:v>13783.686147799999</c:v>
                </c:pt>
                <c:pt idx="48">
                  <c:v>13954.7881857224</c:v>
                </c:pt>
                <c:pt idx="49">
                  <c:v>14125.890223644799</c:v>
                </c:pt>
                <c:pt idx="50">
                  <c:v>14296.9922615671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1A-4F5A-96DA-E24689A06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46768"/>
        <c:axId val="2128752752"/>
      </c:lineChart>
      <c:catAx>
        <c:axId val="2128746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28752752"/>
        <c:crosses val="autoZero"/>
        <c:auto val="1"/>
        <c:lblAlgn val="ctr"/>
        <c:lblOffset val="100"/>
        <c:noMultiLvlLbl val="0"/>
      </c:catAx>
      <c:valAx>
        <c:axId val="2128752752"/>
        <c:scaling>
          <c:orientation val="minMax"/>
        </c:scaling>
        <c:delete val="0"/>
        <c:axPos val="l"/>
        <c:majorGridlines/>
        <c:title>
          <c:overlay val="0"/>
        </c:title>
        <c:numFmt formatCode="#,##0.0" sourceLinked="1"/>
        <c:majorTickMark val="none"/>
        <c:minorTickMark val="none"/>
        <c:tickLblPos val="nextTo"/>
        <c:crossAx val="2128746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'Persamaan 11'!$A$3:$A$53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11'!$C$3:$C$53</c:f>
              <c:numCache>
                <c:formatCode>#,##0</c:formatCode>
                <c:ptCount val="51"/>
                <c:pt idx="0">
                  <c:v>6394</c:v>
                </c:pt>
                <c:pt idx="1">
                  <c:v>6442.5</c:v>
                </c:pt>
                <c:pt idx="2">
                  <c:v>6491</c:v>
                </c:pt>
                <c:pt idx="3">
                  <c:v>6530.5</c:v>
                </c:pt>
                <c:pt idx="4">
                  <c:v>6570</c:v>
                </c:pt>
                <c:pt idx="5">
                  <c:v>6603.5</c:v>
                </c:pt>
                <c:pt idx="6">
                  <c:v>6637</c:v>
                </c:pt>
                <c:pt idx="7">
                  <c:v>6660</c:v>
                </c:pt>
                <c:pt idx="8">
                  <c:v>6683</c:v>
                </c:pt>
                <c:pt idx="9">
                  <c:v>6727.5</c:v>
                </c:pt>
                <c:pt idx="10">
                  <c:v>6772</c:v>
                </c:pt>
                <c:pt idx="11">
                  <c:v>6822.5</c:v>
                </c:pt>
                <c:pt idx="12">
                  <c:v>6873</c:v>
                </c:pt>
                <c:pt idx="13">
                  <c:v>6949.5</c:v>
                </c:pt>
                <c:pt idx="14">
                  <c:v>7026</c:v>
                </c:pt>
                <c:pt idx="15">
                  <c:v>7172</c:v>
                </c:pt>
                <c:pt idx="16">
                  <c:v>7318</c:v>
                </c:pt>
                <c:pt idx="17">
                  <c:v>7334.5</c:v>
                </c:pt>
                <c:pt idx="18">
                  <c:v>7351</c:v>
                </c:pt>
                <c:pt idx="19">
                  <c:v>7371</c:v>
                </c:pt>
                <c:pt idx="20">
                  <c:v>7391</c:v>
                </c:pt>
                <c:pt idx="21">
                  <c:v>7640.5</c:v>
                </c:pt>
                <c:pt idx="22">
                  <c:v>7890</c:v>
                </c:pt>
                <c:pt idx="23">
                  <c:v>8266.5</c:v>
                </c:pt>
                <c:pt idx="24">
                  <c:v>8643</c:v>
                </c:pt>
                <c:pt idx="25">
                  <c:v>8792</c:v>
                </c:pt>
                <c:pt idx="26">
                  <c:v>8941</c:v>
                </c:pt>
                <c:pt idx="27">
                  <c:v>9289.5</c:v>
                </c:pt>
                <c:pt idx="28">
                  <c:v>9638</c:v>
                </c:pt>
                <c:pt idx="29">
                  <c:v>10276.5</c:v>
                </c:pt>
                <c:pt idx="30">
                  <c:v>10915</c:v>
                </c:pt>
                <c:pt idx="31">
                  <c:v>11213</c:v>
                </c:pt>
                <c:pt idx="32">
                  <c:v>11511</c:v>
                </c:pt>
                <c:pt idx="33">
                  <c:v>11523</c:v>
                </c:pt>
                <c:pt idx="34">
                  <c:v>11535</c:v>
                </c:pt>
                <c:pt idx="35">
                  <c:v>11794.5</c:v>
                </c:pt>
                <c:pt idx="36">
                  <c:v>12054</c:v>
                </c:pt>
                <c:pt idx="37">
                  <c:v>12072.5</c:v>
                </c:pt>
                <c:pt idx="38">
                  <c:v>12091</c:v>
                </c:pt>
                <c:pt idx="39">
                  <c:v>12201</c:v>
                </c:pt>
                <c:pt idx="40">
                  <c:v>12311</c:v>
                </c:pt>
                <c:pt idx="41">
                  <c:v>12256</c:v>
                </c:pt>
                <c:pt idx="42">
                  <c:v>12321.833914053401</c:v>
                </c:pt>
                <c:pt idx="43">
                  <c:v>12490.763619912001</c:v>
                </c:pt>
                <c:pt idx="44">
                  <c:v>12659.6933257705</c:v>
                </c:pt>
                <c:pt idx="45">
                  <c:v>12828.623031629</c:v>
                </c:pt>
                <c:pt idx="46">
                  <c:v>12997.5527374875</c:v>
                </c:pt>
                <c:pt idx="47">
                  <c:v>13166.482443346</c:v>
                </c:pt>
                <c:pt idx="48">
                  <c:v>13335.4121492046</c:v>
                </c:pt>
                <c:pt idx="49">
                  <c:v>13504.3418550631</c:v>
                </c:pt>
                <c:pt idx="50">
                  <c:v>13673.271560921599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6-47BE-9BBC-4B47CE602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50032"/>
        <c:axId val="2128754384"/>
      </c:lineChart>
      <c:catAx>
        <c:axId val="212875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128754384"/>
        <c:crosses val="autoZero"/>
        <c:auto val="1"/>
        <c:lblAlgn val="ctr"/>
        <c:lblOffset val="100"/>
        <c:noMultiLvlLbl val="0"/>
      </c:catAx>
      <c:valAx>
        <c:axId val="2128754384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28750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'Persamaan 12'!$A$3:$A$58</c:f>
              <c:numCache>
                <c:formatCode>General</c:formatCode>
                <c:ptCount val="56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E-4F1F-B65F-B8ADB4E2F833}"/>
            </c:ext>
          </c:extLst>
        </c:ser>
        <c:ser>
          <c:idx val="1"/>
          <c:order val="1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18968722659667542"/>
                  <c:y val="-1.4656969962088073E-2"/>
                </c:manualLayout>
              </c:layout>
              <c:numFmt formatCode="General" sourceLinked="0"/>
            </c:trendlineLbl>
          </c:trendline>
          <c:val>
            <c:numRef>
              <c:f>'Persamaan 12'!$C$3:$C$58</c:f>
              <c:numCache>
                <c:formatCode>#,##0</c:formatCode>
                <c:ptCount val="56"/>
                <c:pt idx="0">
                  <c:v>11778.637000000001</c:v>
                </c:pt>
                <c:pt idx="1">
                  <c:v>11967.047</c:v>
                </c:pt>
                <c:pt idx="2">
                  <c:v>12155.457</c:v>
                </c:pt>
                <c:pt idx="3">
                  <c:v>12356.373500000002</c:v>
                </c:pt>
                <c:pt idx="4">
                  <c:v>12557.29</c:v>
                </c:pt>
                <c:pt idx="5">
                  <c:v>12731.517500000002</c:v>
                </c:pt>
                <c:pt idx="6">
                  <c:v>12905.745000000001</c:v>
                </c:pt>
                <c:pt idx="7">
                  <c:v>13084.807000000001</c:v>
                </c:pt>
                <c:pt idx="8">
                  <c:v>13263.869000000001</c:v>
                </c:pt>
                <c:pt idx="9">
                  <c:v>13426.949500000001</c:v>
                </c:pt>
                <c:pt idx="10">
                  <c:v>13590.03</c:v>
                </c:pt>
                <c:pt idx="11">
                  <c:v>13792.971000000001</c:v>
                </c:pt>
                <c:pt idx="12">
                  <c:v>13995.912</c:v>
                </c:pt>
                <c:pt idx="13">
                  <c:v>14167.9925</c:v>
                </c:pt>
                <c:pt idx="14">
                  <c:v>14340.073</c:v>
                </c:pt>
                <c:pt idx="15">
                  <c:v>14486.4005</c:v>
                </c:pt>
                <c:pt idx="16">
                  <c:v>14632.727999999999</c:v>
                </c:pt>
                <c:pt idx="17">
                  <c:v>14851.2395</c:v>
                </c:pt>
                <c:pt idx="18">
                  <c:v>15069.751</c:v>
                </c:pt>
                <c:pt idx="19">
                  <c:v>15255.0345</c:v>
                </c:pt>
                <c:pt idx="20">
                  <c:v>15440.317999999999</c:v>
                </c:pt>
                <c:pt idx="21">
                  <c:v>15712.0425</c:v>
                </c:pt>
                <c:pt idx="22">
                  <c:v>15983.767</c:v>
                </c:pt>
                <c:pt idx="23">
                  <c:v>16729.378000000001</c:v>
                </c:pt>
                <c:pt idx="24">
                  <c:v>17474.989000000001</c:v>
                </c:pt>
                <c:pt idx="25">
                  <c:v>17177.185000000001</c:v>
                </c:pt>
                <c:pt idx="26">
                  <c:v>16879.381000000001</c:v>
                </c:pt>
                <c:pt idx="27">
                  <c:v>16928.809500000003</c:v>
                </c:pt>
                <c:pt idx="28">
                  <c:v>16978.238000000001</c:v>
                </c:pt>
                <c:pt idx="29">
                  <c:v>17128.3145</c:v>
                </c:pt>
                <c:pt idx="30">
                  <c:v>17278.391</c:v>
                </c:pt>
                <c:pt idx="31">
                  <c:v>17478.3125</c:v>
                </c:pt>
                <c:pt idx="32">
                  <c:v>17678.234</c:v>
                </c:pt>
                <c:pt idx="33">
                  <c:v>17917.478500000001</c:v>
                </c:pt>
                <c:pt idx="34">
                  <c:v>18156.723000000002</c:v>
                </c:pt>
                <c:pt idx="35">
                  <c:v>18462.329000000002</c:v>
                </c:pt>
                <c:pt idx="36">
                  <c:v>18767.935000000001</c:v>
                </c:pt>
                <c:pt idx="37">
                  <c:v>19518.652399999999</c:v>
                </c:pt>
                <c:pt idx="38">
                  <c:v>20269.3698</c:v>
                </c:pt>
                <c:pt idx="39">
                  <c:v>22093.613082</c:v>
                </c:pt>
                <c:pt idx="40">
                  <c:v>23917.856363999999</c:v>
                </c:pt>
                <c:pt idx="41">
                  <c:v>23005.734723000001</c:v>
                </c:pt>
                <c:pt idx="42">
                  <c:v>20959.958929935001</c:v>
                </c:pt>
                <c:pt idx="43">
                  <c:v>21191.333679312898</c:v>
                </c:pt>
                <c:pt idx="44">
                  <c:v>21422.708428690799</c:v>
                </c:pt>
                <c:pt idx="45">
                  <c:v>21654.0831780687</c:v>
                </c:pt>
                <c:pt idx="46">
                  <c:v>21885.457927446601</c:v>
                </c:pt>
                <c:pt idx="47">
                  <c:v>22116.832676824601</c:v>
                </c:pt>
                <c:pt idx="48">
                  <c:v>22348.207426202502</c:v>
                </c:pt>
                <c:pt idx="49">
                  <c:v>22579.582175580399</c:v>
                </c:pt>
                <c:pt idx="50">
                  <c:v>22810.956924958398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DE-4F1F-B65F-B8ADB4E2F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00448"/>
        <c:axId val="2130209152"/>
      </c:lineChart>
      <c:catAx>
        <c:axId val="2130200448"/>
        <c:scaling>
          <c:orientation val="minMax"/>
        </c:scaling>
        <c:delete val="0"/>
        <c:axPos val="b"/>
        <c:majorTickMark val="none"/>
        <c:minorTickMark val="none"/>
        <c:tickLblPos val="nextTo"/>
        <c:crossAx val="2130209152"/>
        <c:crosses val="autoZero"/>
        <c:auto val="1"/>
        <c:lblAlgn val="ctr"/>
        <c:lblOffset val="100"/>
        <c:noMultiLvlLbl val="0"/>
      </c:catAx>
      <c:valAx>
        <c:axId val="2130209152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213020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0380446194225721"/>
          <c:y val="0.45075532225138526"/>
          <c:w val="0.25730664916885387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487362</xdr:colOff>
      <xdr:row>48</xdr:row>
      <xdr:rowOff>31750</xdr:rowOff>
    </xdr:from>
    <xdr:to>
      <xdr:col>16</xdr:col>
      <xdr:colOff>649287</xdr:colOff>
      <xdr:row>62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125412</xdr:colOff>
      <xdr:row>63</xdr:row>
      <xdr:rowOff>92074</xdr:rowOff>
    </xdr:from>
    <xdr:to>
      <xdr:col>13</xdr:col>
      <xdr:colOff>211137</xdr:colOff>
      <xdr:row>78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244475</xdr:colOff>
      <xdr:row>62</xdr:row>
      <xdr:rowOff>28575</xdr:rowOff>
    </xdr:from>
    <xdr:to>
      <xdr:col>11</xdr:col>
      <xdr:colOff>53975</xdr:colOff>
      <xdr:row>75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357085</xdr:colOff>
      <xdr:row>54</xdr:row>
      <xdr:rowOff>83951</xdr:rowOff>
    </xdr:from>
    <xdr:to>
      <xdr:col>13</xdr:col>
      <xdr:colOff>92365</xdr:colOff>
      <xdr:row>69</xdr:row>
      <xdr:rowOff>105724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C01A2-34EF-4E02-9753-276DA6C35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288925</xdr:colOff>
      <xdr:row>54</xdr:row>
      <xdr:rowOff>128587</xdr:rowOff>
    </xdr:from>
    <xdr:to>
      <xdr:col>13</xdr:col>
      <xdr:colOff>323850</xdr:colOff>
      <xdr:row>69</xdr:row>
      <xdr:rowOff>7937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57</xdr:row>
      <xdr:rowOff>100012</xdr:rowOff>
    </xdr:from>
    <xdr:to>
      <xdr:col>11</xdr:col>
      <xdr:colOff>114300</xdr:colOff>
      <xdr:row>71</xdr:row>
      <xdr:rowOff>176212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461962</xdr:colOff>
      <xdr:row>53</xdr:row>
      <xdr:rowOff>171450</xdr:rowOff>
    </xdr:from>
    <xdr:to>
      <xdr:col>17</xdr:col>
      <xdr:colOff>766762</xdr:colOff>
      <xdr:row>66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133349</xdr:colOff>
      <xdr:row>49</xdr:row>
      <xdr:rowOff>85725</xdr:rowOff>
    </xdr:from>
    <xdr:to>
      <xdr:col>18</xdr:col>
      <xdr:colOff>260350</xdr:colOff>
      <xdr:row>63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</xdr:colOff>
      <xdr:row>53</xdr:row>
      <xdr:rowOff>82550</xdr:rowOff>
    </xdr:from>
    <xdr:to>
      <xdr:col>20</xdr:col>
      <xdr:colOff>560387</xdr:colOff>
      <xdr:row>67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727075</xdr:colOff>
      <xdr:row>49</xdr:row>
      <xdr:rowOff>71437</xdr:rowOff>
    </xdr:from>
    <xdr:to>
      <xdr:col>14</xdr:col>
      <xdr:colOff>584200</xdr:colOff>
      <xdr:row>63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573087</xdr:colOff>
      <xdr:row>48</xdr:row>
      <xdr:rowOff>165100</xdr:rowOff>
    </xdr:from>
    <xdr:to>
      <xdr:col>17</xdr:col>
      <xdr:colOff>360362</xdr:colOff>
      <xdr:row>63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51</xdr:row>
      <xdr:rowOff>125412</xdr:rowOff>
    </xdr:from>
    <xdr:to>
      <xdr:col>9</xdr:col>
      <xdr:colOff>530225</xdr:colOff>
      <xdr:row>66</xdr:row>
      <xdr:rowOff>7937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48"/>
  <sheetViews>
    <sheetView zoomScale="90" zoomScaleNormal="90" workbookViewId="0">
      <selection activeCell="D8" sqref="D8"/>
    </sheetView>
  </sheetViews>
  <sheetFormatPr defaultColWidth="9.1796875" defaultRowHeight="14.5" x14ac:dyDescent="0.35"/>
  <cols>
    <col min="2" max="2" width="13.81640625" customWidth="1"/>
    <col min="3" max="3" width="26.54296875" customWidth="1"/>
    <col min="4" max="4" width="29.1796875" customWidth="1"/>
    <col min="5" max="6" width="15" customWidth="1"/>
    <col min="7" max="7" width="31.1796875" customWidth="1"/>
    <col min="8" max="8" width="28.7265625" customWidth="1"/>
    <col min="9" max="9" width="32.7265625" customWidth="1"/>
    <col min="10" max="10" width="35" customWidth="1"/>
    <col min="11" max="11" width="27" customWidth="1"/>
    <col min="12" max="12" width="33.453125" customWidth="1"/>
    <col min="13" max="23" width="15" customWidth="1"/>
    <col min="24" max="24" width="19.7265625" customWidth="1"/>
    <col min="25" max="46" width="15" customWidth="1"/>
    <col min="47" max="47" width="17.81640625" customWidth="1"/>
    <col min="48" max="48" width="17.26953125" customWidth="1"/>
    <col min="49" max="55" width="15" customWidth="1"/>
    <col min="56" max="56" width="19.26953125" customWidth="1"/>
    <col min="57" max="83" width="15" customWidth="1"/>
    <col min="84" max="84" width="18" customWidth="1"/>
    <col min="85" max="91" width="15" customWidth="1"/>
    <col min="92" max="92" width="17.453125" customWidth="1"/>
    <col min="93" max="120" width="15" customWidth="1"/>
  </cols>
  <sheetData>
    <row r="1" spans="1:120" s="23" customFormat="1" ht="43.5" x14ac:dyDescent="0.35">
      <c r="A1" s="23" t="s">
        <v>0</v>
      </c>
      <c r="B1" s="23" t="s">
        <v>363</v>
      </c>
      <c r="C1" s="10" t="s">
        <v>220</v>
      </c>
      <c r="D1" s="107" t="s">
        <v>221</v>
      </c>
      <c r="E1" s="107"/>
      <c r="F1" s="107"/>
      <c r="G1" s="23" t="s">
        <v>222</v>
      </c>
      <c r="H1" s="40" t="s">
        <v>223</v>
      </c>
      <c r="I1" s="10" t="s">
        <v>224</v>
      </c>
      <c r="J1" s="48" t="s">
        <v>225</v>
      </c>
      <c r="K1" s="10" t="s">
        <v>226</v>
      </c>
      <c r="L1" s="10" t="s">
        <v>227</v>
      </c>
      <c r="M1" s="23" t="s">
        <v>228</v>
      </c>
      <c r="N1" s="23" t="s">
        <v>229</v>
      </c>
      <c r="O1" s="23" t="s">
        <v>230</v>
      </c>
      <c r="P1" s="23" t="s">
        <v>231</v>
      </c>
      <c r="Q1" s="39" t="s">
        <v>232</v>
      </c>
      <c r="R1" s="23" t="s">
        <v>233</v>
      </c>
      <c r="S1" s="23" t="s">
        <v>234</v>
      </c>
      <c r="T1" s="23" t="s">
        <v>235</v>
      </c>
      <c r="U1" s="23" t="s">
        <v>236</v>
      </c>
      <c r="V1" s="23" t="s">
        <v>237</v>
      </c>
      <c r="W1" s="23" t="s">
        <v>238</v>
      </c>
      <c r="X1" s="23" t="s">
        <v>239</v>
      </c>
      <c r="Y1" s="23" t="s">
        <v>240</v>
      </c>
      <c r="Z1" s="23" t="s">
        <v>247</v>
      </c>
      <c r="AA1" s="23" t="s">
        <v>241</v>
      </c>
      <c r="AB1" s="23" t="s">
        <v>242</v>
      </c>
      <c r="AC1" s="23" t="s">
        <v>243</v>
      </c>
      <c r="AD1" s="23" t="s">
        <v>244</v>
      </c>
      <c r="AE1" s="23" t="s">
        <v>245</v>
      </c>
      <c r="AF1" s="23" t="s">
        <v>246</v>
      </c>
      <c r="AG1" s="23" t="s">
        <v>248</v>
      </c>
      <c r="AH1" s="23" t="s">
        <v>249</v>
      </c>
      <c r="AI1" s="23" t="s">
        <v>250</v>
      </c>
      <c r="AJ1" s="23" t="s">
        <v>251</v>
      </c>
      <c r="AK1" s="23" t="s">
        <v>252</v>
      </c>
      <c r="AL1" s="23" t="s">
        <v>172</v>
      </c>
      <c r="AM1" s="23" t="s">
        <v>253</v>
      </c>
      <c r="AN1" s="23" t="s">
        <v>254</v>
      </c>
      <c r="AO1" s="23" t="s">
        <v>255</v>
      </c>
      <c r="AP1" s="23" t="s">
        <v>101</v>
      </c>
      <c r="AQ1" s="23" t="s">
        <v>256</v>
      </c>
      <c r="AR1" s="23" t="s">
        <v>259</v>
      </c>
      <c r="AS1" s="23" t="s">
        <v>257</v>
      </c>
      <c r="AV1" s="23" t="s">
        <v>258</v>
      </c>
      <c r="AW1" s="23" t="s">
        <v>260</v>
      </c>
      <c r="AZ1" s="23" t="s">
        <v>114</v>
      </c>
      <c r="BA1" s="23" t="s">
        <v>261</v>
      </c>
      <c r="BB1" s="23" t="s">
        <v>262</v>
      </c>
      <c r="BC1" s="23" t="s">
        <v>263</v>
      </c>
      <c r="BD1" s="41" t="s">
        <v>264</v>
      </c>
      <c r="BE1" s="23" t="s">
        <v>265</v>
      </c>
      <c r="BF1" s="23" t="s">
        <v>266</v>
      </c>
      <c r="BG1" s="23" t="s">
        <v>267</v>
      </c>
      <c r="BH1" s="23" t="s">
        <v>268</v>
      </c>
      <c r="BI1" s="23" t="s">
        <v>269</v>
      </c>
      <c r="BJ1" s="23" t="s">
        <v>270</v>
      </c>
      <c r="BK1" s="23" t="s">
        <v>115</v>
      </c>
      <c r="BL1" s="23" t="s">
        <v>271</v>
      </c>
      <c r="BM1" s="23" t="s">
        <v>118</v>
      </c>
      <c r="BN1" s="23" t="s">
        <v>119</v>
      </c>
      <c r="BO1" s="23" t="s">
        <v>272</v>
      </c>
      <c r="BR1" s="23" t="s">
        <v>273</v>
      </c>
      <c r="BV1" s="23" t="s">
        <v>274</v>
      </c>
      <c r="BW1" s="23" t="s">
        <v>268</v>
      </c>
      <c r="BX1" s="23" t="s">
        <v>275</v>
      </c>
      <c r="CA1" s="23" t="s">
        <v>276</v>
      </c>
      <c r="CB1" s="23" t="s">
        <v>277</v>
      </c>
      <c r="CC1" s="23" t="s">
        <v>278</v>
      </c>
      <c r="CD1" s="23" t="s">
        <v>279</v>
      </c>
      <c r="CE1" s="23" t="s">
        <v>280</v>
      </c>
      <c r="CF1" s="23" t="s">
        <v>281</v>
      </c>
      <c r="CG1" s="23" t="s">
        <v>282</v>
      </c>
      <c r="CH1" s="23" t="s">
        <v>283</v>
      </c>
      <c r="CI1" s="23" t="s">
        <v>284</v>
      </c>
      <c r="CJ1" s="23" t="s">
        <v>285</v>
      </c>
      <c r="CK1" s="23" t="s">
        <v>286</v>
      </c>
      <c r="CL1" s="23" t="s">
        <v>287</v>
      </c>
      <c r="CM1" s="23" t="s">
        <v>139</v>
      </c>
      <c r="CN1" s="23" t="s">
        <v>218</v>
      </c>
      <c r="CO1" s="23" t="s">
        <v>142</v>
      </c>
      <c r="CP1" s="23" t="s">
        <v>143</v>
      </c>
      <c r="CQ1" s="23" t="s">
        <v>144</v>
      </c>
      <c r="CR1" s="23" t="s">
        <v>288</v>
      </c>
      <c r="CS1" s="23" t="s">
        <v>289</v>
      </c>
      <c r="CT1" s="23" t="s">
        <v>290</v>
      </c>
      <c r="CU1" s="23" t="s">
        <v>291</v>
      </c>
      <c r="CV1" s="23" t="s">
        <v>292</v>
      </c>
      <c r="CW1" s="23" t="s">
        <v>293</v>
      </c>
      <c r="CX1" s="23" t="s">
        <v>151</v>
      </c>
      <c r="CY1" s="23" t="s">
        <v>294</v>
      </c>
      <c r="CZ1" s="23" t="s">
        <v>295</v>
      </c>
      <c r="DA1" s="23" t="s">
        <v>296</v>
      </c>
      <c r="DB1" s="23" t="s">
        <v>297</v>
      </c>
      <c r="DC1" s="23" t="s">
        <v>298</v>
      </c>
      <c r="DD1" s="23" t="s">
        <v>299</v>
      </c>
      <c r="DE1" s="23" t="s">
        <v>300</v>
      </c>
      <c r="DF1" s="23" t="s">
        <v>301</v>
      </c>
      <c r="DG1" s="23" t="s">
        <v>302</v>
      </c>
      <c r="DH1" s="23" t="s">
        <v>303</v>
      </c>
      <c r="DI1" s="23" t="s">
        <v>159</v>
      </c>
      <c r="DJ1" s="23" t="s">
        <v>304</v>
      </c>
      <c r="DK1" s="23" t="s">
        <v>305</v>
      </c>
      <c r="DL1" s="23" t="s">
        <v>306</v>
      </c>
      <c r="DM1" s="23" t="s">
        <v>307</v>
      </c>
      <c r="DN1" s="23" t="s">
        <v>308</v>
      </c>
      <c r="DO1" s="23" t="s">
        <v>309</v>
      </c>
      <c r="DP1" s="23" t="s">
        <v>207</v>
      </c>
    </row>
    <row r="2" spans="1:120" ht="15.5" x14ac:dyDescent="0.35">
      <c r="D2" s="9" t="s">
        <v>67</v>
      </c>
      <c r="E2" s="8" t="s">
        <v>68</v>
      </c>
      <c r="F2" t="s">
        <v>69</v>
      </c>
      <c r="AS2" t="s">
        <v>140</v>
      </c>
      <c r="AT2" t="s">
        <v>117</v>
      </c>
      <c r="AW2" t="s">
        <v>168</v>
      </c>
      <c r="AX2" t="s">
        <v>97</v>
      </c>
      <c r="AY2" t="s">
        <v>216</v>
      </c>
      <c r="BO2" t="s">
        <v>84</v>
      </c>
      <c r="BP2" t="s">
        <v>85</v>
      </c>
      <c r="BQ2" t="s">
        <v>120</v>
      </c>
      <c r="BR2" t="s">
        <v>122</v>
      </c>
      <c r="BS2" t="s">
        <v>118</v>
      </c>
      <c r="BT2" t="s">
        <v>123</v>
      </c>
      <c r="BX2" t="s">
        <v>125</v>
      </c>
      <c r="BY2" t="s">
        <v>126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 x14ac:dyDescent="0.35">
      <c r="A3">
        <v>2000</v>
      </c>
      <c r="B3">
        <v>1</v>
      </c>
      <c r="C3" s="11">
        <v>375.798</v>
      </c>
      <c r="D3" s="5">
        <v>1890</v>
      </c>
      <c r="E3" s="5">
        <v>1050</v>
      </c>
      <c r="F3" s="11">
        <v>1.8</v>
      </c>
      <c r="G3" s="5">
        <v>61.811</v>
      </c>
      <c r="H3" s="5">
        <v>2249</v>
      </c>
      <c r="I3" s="6">
        <v>31.33</v>
      </c>
      <c r="J3" s="5">
        <v>371848</v>
      </c>
      <c r="K3" s="5">
        <v>129</v>
      </c>
      <c r="L3">
        <v>2.64</v>
      </c>
      <c r="M3" s="5">
        <v>131</v>
      </c>
      <c r="N3" s="5">
        <v>11773.751340000001</v>
      </c>
      <c r="O3" s="5">
        <v>375.798</v>
      </c>
      <c r="P3" s="5">
        <v>11773.751339999999</v>
      </c>
      <c r="Q3" s="5">
        <v>50768.751340000003</v>
      </c>
      <c r="R3" s="5">
        <v>38995</v>
      </c>
      <c r="S3" s="5">
        <v>6000.8664083880003</v>
      </c>
      <c r="T3" s="5">
        <v>0.1182</v>
      </c>
      <c r="U3" s="5">
        <v>50768.751340000003</v>
      </c>
      <c r="V3" s="5">
        <v>47287.096799999999</v>
      </c>
      <c r="W3" s="5">
        <v>2.3999999999999998E-3</v>
      </c>
      <c r="X3" s="5">
        <v>19702957</v>
      </c>
      <c r="Y3" s="5">
        <v>922.22699999999998</v>
      </c>
      <c r="Z3" s="5">
        <v>7081</v>
      </c>
      <c r="AA3" s="5">
        <v>1526.345</v>
      </c>
      <c r="AB3" s="5">
        <v>758.726</v>
      </c>
      <c r="AC3" s="5">
        <v>1171.665</v>
      </c>
      <c r="AD3" s="5">
        <v>5.8000000000000003E-2</v>
      </c>
      <c r="AE3" s="5">
        <v>755.77080000000001</v>
      </c>
      <c r="AF3" s="5">
        <v>912947</v>
      </c>
      <c r="AG3" s="5">
        <v>23248.753769999999</v>
      </c>
      <c r="AH3" s="5">
        <v>19702957</v>
      </c>
      <c r="AI3" s="5">
        <v>47287.096799999999</v>
      </c>
      <c r="AJ3" s="5">
        <v>758726</v>
      </c>
      <c r="AK3" s="5">
        <v>27275.254000000001</v>
      </c>
      <c r="AL3" s="5">
        <v>4347</v>
      </c>
      <c r="AM3" s="5">
        <v>7081</v>
      </c>
      <c r="AN3" s="5">
        <v>229.16127800000001</v>
      </c>
      <c r="AO3" s="5">
        <v>43.812322881829559</v>
      </c>
      <c r="AP3" s="5">
        <v>3.3010299956639813</v>
      </c>
      <c r="AQ3" s="5">
        <v>26402.445</v>
      </c>
      <c r="AR3" s="5">
        <v>363.5</v>
      </c>
      <c r="AS3" s="5">
        <v>1500</v>
      </c>
      <c r="AT3" s="5">
        <v>8719</v>
      </c>
      <c r="AU3" s="5">
        <v>13078500</v>
      </c>
      <c r="AV3" s="5">
        <v>745783.06000000238</v>
      </c>
      <c r="AW3" s="5">
        <v>23248.753769999999</v>
      </c>
      <c r="AX3" s="5">
        <v>27275.254000000001</v>
      </c>
      <c r="AY3" s="5">
        <v>-4026.5002300000015</v>
      </c>
      <c r="AZ3" s="5">
        <v>2073</v>
      </c>
      <c r="BA3" s="5">
        <v>5753</v>
      </c>
      <c r="BB3" s="5">
        <v>6394</v>
      </c>
      <c r="BC3" s="5">
        <v>1890</v>
      </c>
      <c r="BD3" s="51" t="s">
        <v>337</v>
      </c>
      <c r="BE3" s="5">
        <v>5753</v>
      </c>
      <c r="BF3" s="5">
        <v>755.77080000000001</v>
      </c>
      <c r="BG3" s="5">
        <v>687</v>
      </c>
      <c r="BH3" s="5">
        <v>687</v>
      </c>
      <c r="BI3" s="5">
        <v>6394</v>
      </c>
      <c r="BJ3" s="5">
        <v>2073</v>
      </c>
      <c r="BK3" s="5">
        <v>1406</v>
      </c>
      <c r="BL3" s="5">
        <v>755.77080000000001</v>
      </c>
      <c r="BM3" s="5">
        <v>1483290</v>
      </c>
      <c r="BN3" s="5">
        <v>1984</v>
      </c>
      <c r="BO3" s="5">
        <v>11773.751340000001</v>
      </c>
      <c r="BP3" s="5">
        <v>38995</v>
      </c>
      <c r="BQ3" s="5">
        <v>50768.751340000003</v>
      </c>
      <c r="BR3" s="5">
        <v>758.726</v>
      </c>
      <c r="BS3" s="5">
        <v>1483290</v>
      </c>
      <c r="BT3" s="5">
        <v>1397439</v>
      </c>
      <c r="BU3" s="5">
        <v>8.8377071903647016E-3</v>
      </c>
      <c r="BV3" s="42" t="s">
        <v>337</v>
      </c>
      <c r="BW3" s="5">
        <v>687</v>
      </c>
      <c r="BX3" s="5">
        <v>11773.751340000001</v>
      </c>
      <c r="BY3" s="5">
        <v>38995</v>
      </c>
      <c r="BZ3" s="5">
        <v>50768.751340000003</v>
      </c>
      <c r="CA3" s="5">
        <v>1948.59</v>
      </c>
      <c r="CB3" s="5">
        <v>11778.637000000001</v>
      </c>
      <c r="CC3" s="5">
        <v>1816.3019999999999</v>
      </c>
      <c r="CD3" s="5">
        <v>22000</v>
      </c>
      <c r="CE3" s="5">
        <v>258531</v>
      </c>
      <c r="CF3" s="5">
        <v>11566621</v>
      </c>
      <c r="CG3" s="5">
        <v>32.619999999999997</v>
      </c>
      <c r="CH3" s="5">
        <v>604489</v>
      </c>
      <c r="CI3" s="5">
        <v>140</v>
      </c>
      <c r="CJ3" s="5">
        <v>1816302</v>
      </c>
      <c r="CK3" s="5">
        <v>22000</v>
      </c>
      <c r="CL3" s="5">
        <v>258531</v>
      </c>
      <c r="CM3" s="5">
        <v>912947</v>
      </c>
      <c r="CN3" s="43">
        <v>-885671.74600000004</v>
      </c>
      <c r="CO3" s="5">
        <v>1147060</v>
      </c>
      <c r="CP3" s="5">
        <v>0</v>
      </c>
      <c r="CQ3" s="5">
        <v>1463</v>
      </c>
      <c r="CR3" s="5">
        <v>59.86</v>
      </c>
      <c r="CS3" s="5">
        <v>69.75</v>
      </c>
      <c r="CT3" s="5">
        <v>500</v>
      </c>
      <c r="CU3" s="5">
        <v>90.54</v>
      </c>
      <c r="CV3" s="5">
        <v>2554</v>
      </c>
      <c r="CW3" s="5">
        <v>23514.57</v>
      </c>
      <c r="CX3" s="5">
        <v>59.37</v>
      </c>
      <c r="CY3" s="5">
        <v>59.86</v>
      </c>
      <c r="CZ3" s="5">
        <v>69.75</v>
      </c>
      <c r="DA3" s="5">
        <v>500</v>
      </c>
      <c r="DB3" s="5">
        <v>90.54</v>
      </c>
      <c r="DC3" s="5">
        <v>2554</v>
      </c>
      <c r="DD3" s="5">
        <v>23514.57</v>
      </c>
      <c r="DE3" s="5">
        <v>105.65</v>
      </c>
      <c r="DF3" s="5">
        <v>580.33000000000004</v>
      </c>
      <c r="DG3" s="5">
        <v>66.849999999999994</v>
      </c>
      <c r="DH3" s="5">
        <v>67.56</v>
      </c>
      <c r="DI3" s="5">
        <v>100.32</v>
      </c>
      <c r="DJ3" s="5">
        <v>105.65</v>
      </c>
      <c r="DK3" s="5">
        <v>580.33000000000004</v>
      </c>
      <c r="DL3" s="5">
        <v>61.811</v>
      </c>
      <c r="DM3" s="5">
        <v>2249</v>
      </c>
      <c r="DN3" s="5">
        <v>66.849999999999994</v>
      </c>
      <c r="DO3" s="5">
        <v>67.56</v>
      </c>
      <c r="DP3" s="5">
        <v>100.32</v>
      </c>
    </row>
    <row r="4" spans="1:120" x14ac:dyDescent="0.35">
      <c r="B4">
        <v>2</v>
      </c>
      <c r="C4" s="11">
        <v>377.77300000000002</v>
      </c>
      <c r="D4" s="5">
        <v>1984.5</v>
      </c>
      <c r="E4" s="5">
        <v>1075</v>
      </c>
      <c r="F4" s="11">
        <v>1.845</v>
      </c>
      <c r="G4" s="5">
        <v>66.429000000000002</v>
      </c>
      <c r="H4" s="5">
        <v>1951.5</v>
      </c>
      <c r="I4" s="11">
        <v>33.465000000000003</v>
      </c>
      <c r="J4" s="5">
        <v>373823</v>
      </c>
      <c r="K4" s="5">
        <v>128</v>
      </c>
      <c r="L4" s="11">
        <v>2.6850000000000001</v>
      </c>
      <c r="M4" s="5">
        <v>130</v>
      </c>
      <c r="N4" s="5">
        <v>12646.390070000001</v>
      </c>
      <c r="O4" s="5">
        <v>377.77300000000002</v>
      </c>
      <c r="P4" s="5">
        <v>12646.390069999999</v>
      </c>
      <c r="Q4" s="5">
        <v>84734.890069999994</v>
      </c>
      <c r="R4" s="5">
        <v>72088.5</v>
      </c>
      <c r="S4" s="5">
        <v>9962.2485433140009</v>
      </c>
      <c r="T4" s="5">
        <v>0.11774999999999999</v>
      </c>
      <c r="U4" s="5">
        <v>84734.890069999994</v>
      </c>
      <c r="V4" s="5">
        <v>49325.192150000003</v>
      </c>
      <c r="W4" s="5">
        <v>2.4499999999999999E-3</v>
      </c>
      <c r="X4" s="5">
        <v>20124136</v>
      </c>
      <c r="Y4" s="5">
        <v>942.44299999999998</v>
      </c>
      <c r="Z4" s="5">
        <v>7132</v>
      </c>
      <c r="AA4" s="5">
        <v>1630.414</v>
      </c>
      <c r="AB4" s="5">
        <v>764.50299999999993</v>
      </c>
      <c r="AC4" s="5">
        <v>1204.452</v>
      </c>
      <c r="AD4" s="5">
        <v>5.6000000000000001E-2</v>
      </c>
      <c r="AE4" s="5">
        <v>758.58255000000008</v>
      </c>
      <c r="AF4" s="5">
        <v>917587</v>
      </c>
      <c r="AG4" s="5">
        <v>23657.893329999999</v>
      </c>
      <c r="AH4" s="5">
        <v>20124136</v>
      </c>
      <c r="AI4" s="5">
        <v>49325.192150000003</v>
      </c>
      <c r="AJ4" s="5">
        <v>764503</v>
      </c>
      <c r="AK4" s="5">
        <v>27553.573</v>
      </c>
      <c r="AL4" s="5">
        <v>4564.3500000000004</v>
      </c>
      <c r="AM4" s="5">
        <v>7132</v>
      </c>
      <c r="AN4" s="5">
        <v>229.8645095</v>
      </c>
      <c r="AO4" s="5">
        <v>44.100853883584264</v>
      </c>
      <c r="AP4" s="5">
        <v>3.3011385421500963</v>
      </c>
      <c r="AQ4" s="5">
        <v>26838.8495</v>
      </c>
      <c r="AR4" s="5">
        <v>365.25</v>
      </c>
      <c r="AS4" s="5">
        <v>1600</v>
      </c>
      <c r="AT4" s="5">
        <v>8738.5</v>
      </c>
      <c r="AU4" s="5">
        <v>13983550</v>
      </c>
      <c r="AV4" s="5">
        <v>1211088.7800000012</v>
      </c>
      <c r="AW4" s="5">
        <v>23657.893329999999</v>
      </c>
      <c r="AX4" s="5">
        <v>27553.573</v>
      </c>
      <c r="AY4" s="5">
        <v>-3895.6796699999995</v>
      </c>
      <c r="AZ4" s="5">
        <v>2181.5</v>
      </c>
      <c r="BA4" s="5">
        <v>6073.5</v>
      </c>
      <c r="BB4" s="5">
        <v>6442.5</v>
      </c>
      <c r="BC4" s="5">
        <v>1984.5</v>
      </c>
      <c r="BD4" s="51" t="s">
        <v>337</v>
      </c>
      <c r="BE4" s="5">
        <v>6073.5</v>
      </c>
      <c r="BF4" s="5">
        <v>758.58255000000008</v>
      </c>
      <c r="BG4" s="5">
        <v>689.5</v>
      </c>
      <c r="BH4" s="5">
        <v>689.5</v>
      </c>
      <c r="BI4" s="5">
        <v>6442.5</v>
      </c>
      <c r="BJ4" s="5">
        <v>2181.5</v>
      </c>
      <c r="BK4" s="5">
        <v>1636.5</v>
      </c>
      <c r="BL4" s="5">
        <v>758.58255000000008</v>
      </c>
      <c r="BM4" s="5">
        <v>1579179</v>
      </c>
      <c r="BN4" s="5">
        <v>2083</v>
      </c>
      <c r="BO4" s="5">
        <v>12646.390070000001</v>
      </c>
      <c r="BP4" s="5">
        <v>72088.5</v>
      </c>
      <c r="BQ4" s="5">
        <v>84734.890069999994</v>
      </c>
      <c r="BR4" s="5">
        <v>764.50299999999993</v>
      </c>
      <c r="BS4" s="5">
        <v>1579179</v>
      </c>
      <c r="BT4" s="5">
        <v>1440364.5</v>
      </c>
      <c r="BU4" s="5">
        <v>6.427113145287159E-3</v>
      </c>
      <c r="BV4" s="42" t="s">
        <v>337</v>
      </c>
      <c r="BW4" s="5">
        <v>689.5</v>
      </c>
      <c r="BX4" s="5">
        <v>12646.390070000001</v>
      </c>
      <c r="BY4" s="5">
        <v>72088.5</v>
      </c>
      <c r="BZ4" s="5">
        <v>84734.890069999994</v>
      </c>
      <c r="CA4" s="5">
        <v>2035.6244999999999</v>
      </c>
      <c r="CB4" s="5">
        <v>11967.047</v>
      </c>
      <c r="CC4" s="5">
        <v>1843.425</v>
      </c>
      <c r="CD4" s="5">
        <v>22750</v>
      </c>
      <c r="CE4" s="5">
        <v>261169</v>
      </c>
      <c r="CF4" s="5">
        <v>12335101.5</v>
      </c>
      <c r="CG4" s="5">
        <v>34.254999999999995</v>
      </c>
      <c r="CH4" s="5">
        <v>626541</v>
      </c>
      <c r="CI4" s="5">
        <v>135</v>
      </c>
      <c r="CJ4" s="5">
        <v>1843425</v>
      </c>
      <c r="CK4" s="5">
        <v>22750</v>
      </c>
      <c r="CL4" s="5">
        <v>261169</v>
      </c>
      <c r="CM4" s="5">
        <v>917587</v>
      </c>
      <c r="CN4" s="43">
        <v>-890033.42700000003</v>
      </c>
      <c r="CO4" s="5">
        <v>1159362.5</v>
      </c>
      <c r="CP4" s="5">
        <v>0</v>
      </c>
      <c r="CQ4" s="5">
        <v>1481.5</v>
      </c>
      <c r="CR4" s="5">
        <v>59.81</v>
      </c>
      <c r="CS4" s="5">
        <v>69.64500000000001</v>
      </c>
      <c r="CT4" s="5">
        <v>501</v>
      </c>
      <c r="CU4" s="5">
        <v>90.44</v>
      </c>
      <c r="CV4" s="5">
        <v>2591</v>
      </c>
      <c r="CW4" s="5">
        <v>24030.025000000001</v>
      </c>
      <c r="CX4" s="5">
        <v>59.614999999999995</v>
      </c>
      <c r="CY4" s="5">
        <v>59.81</v>
      </c>
      <c r="CZ4" s="5">
        <v>69.64500000000001</v>
      </c>
      <c r="DA4" s="5">
        <v>501</v>
      </c>
      <c r="DB4" s="5">
        <v>90.44</v>
      </c>
      <c r="DC4" s="5">
        <v>2591</v>
      </c>
      <c r="DD4" s="5">
        <v>24030.025000000001</v>
      </c>
      <c r="DE4" s="5">
        <v>102.65</v>
      </c>
      <c r="DF4" s="5">
        <v>600.17000000000007</v>
      </c>
      <c r="DG4" s="5">
        <v>66.97999999999999</v>
      </c>
      <c r="DH4" s="5">
        <v>67.72</v>
      </c>
      <c r="DI4" s="5">
        <v>102.985</v>
      </c>
      <c r="DJ4" s="5">
        <v>102.65</v>
      </c>
      <c r="DK4" s="5">
        <v>600.17000000000007</v>
      </c>
      <c r="DL4" s="5">
        <v>66.429000000000002</v>
      </c>
      <c r="DM4" s="5">
        <v>1951.5</v>
      </c>
      <c r="DN4" s="5">
        <v>66.97999999999999</v>
      </c>
      <c r="DO4" s="5">
        <v>67.72</v>
      </c>
      <c r="DP4" s="5">
        <v>102.985</v>
      </c>
    </row>
    <row r="5" spans="1:120" x14ac:dyDescent="0.35">
      <c r="A5">
        <v>2001</v>
      </c>
      <c r="B5">
        <v>1</v>
      </c>
      <c r="C5" s="11">
        <v>379.74799999999999</v>
      </c>
      <c r="D5" s="5">
        <v>2079</v>
      </c>
      <c r="E5" s="5">
        <v>1100</v>
      </c>
      <c r="F5" s="11">
        <v>1.89</v>
      </c>
      <c r="G5" s="5">
        <v>71.046999999999997</v>
      </c>
      <c r="H5" s="5">
        <v>1654</v>
      </c>
      <c r="I5" s="6">
        <v>35.6</v>
      </c>
      <c r="J5" s="5">
        <v>375798</v>
      </c>
      <c r="K5" s="5">
        <v>127</v>
      </c>
      <c r="L5">
        <v>2.73</v>
      </c>
      <c r="M5" s="5">
        <v>129</v>
      </c>
      <c r="N5" s="5">
        <v>13519.0288</v>
      </c>
      <c r="O5" s="5">
        <v>379.74799999999999</v>
      </c>
      <c r="P5" s="5">
        <v>13519.0288</v>
      </c>
      <c r="Q5" s="5">
        <v>118701.0288</v>
      </c>
      <c r="R5" s="5">
        <v>105182</v>
      </c>
      <c r="S5" s="5">
        <v>13923.630678240001</v>
      </c>
      <c r="T5" s="5">
        <v>0.1173</v>
      </c>
      <c r="U5" s="5">
        <v>118701.0288</v>
      </c>
      <c r="V5" s="5">
        <v>51363.287499999999</v>
      </c>
      <c r="W5" s="5">
        <v>2.5000000000000001E-3</v>
      </c>
      <c r="X5" s="5">
        <v>20545315</v>
      </c>
      <c r="Y5" s="5">
        <v>962.65899999999999</v>
      </c>
      <c r="Z5" s="5">
        <v>7183</v>
      </c>
      <c r="AA5" s="5">
        <v>1734.4829999999999</v>
      </c>
      <c r="AB5" s="5">
        <v>770.28</v>
      </c>
      <c r="AC5" s="5">
        <v>1237.239</v>
      </c>
      <c r="AD5" s="5">
        <v>5.3999999999999999E-2</v>
      </c>
      <c r="AE5" s="5">
        <v>761.39430000000004</v>
      </c>
      <c r="AF5" s="5">
        <v>922227</v>
      </c>
      <c r="AG5" s="5">
        <v>24067.032890000002</v>
      </c>
      <c r="AH5" s="5">
        <v>20545315</v>
      </c>
      <c r="AI5" s="5">
        <v>51363.287499999999</v>
      </c>
      <c r="AJ5" s="5">
        <v>770280</v>
      </c>
      <c r="AK5" s="5">
        <v>27831.892</v>
      </c>
      <c r="AL5" s="5">
        <v>4781.7</v>
      </c>
      <c r="AM5" s="5">
        <v>7183</v>
      </c>
      <c r="AN5" s="5">
        <v>230.56774100000001</v>
      </c>
      <c r="AO5" s="5">
        <v>44.389384885338963</v>
      </c>
      <c r="AP5" s="5">
        <v>3.3012470886362113</v>
      </c>
      <c r="AQ5" s="5">
        <v>27275.254000000001</v>
      </c>
      <c r="AR5" s="5">
        <v>367</v>
      </c>
      <c r="AS5" s="5">
        <v>1700</v>
      </c>
      <c r="AT5" s="5">
        <v>8758</v>
      </c>
      <c r="AU5" s="5">
        <v>14888600</v>
      </c>
      <c r="AV5" s="5">
        <v>1676394.5</v>
      </c>
      <c r="AW5" s="5">
        <v>24067.032890000002</v>
      </c>
      <c r="AX5" s="5">
        <v>27831.892</v>
      </c>
      <c r="AY5" s="5">
        <v>-3764.8591099999976</v>
      </c>
      <c r="AZ5" s="5">
        <v>2290</v>
      </c>
      <c r="BA5" s="5">
        <v>6394</v>
      </c>
      <c r="BB5" s="5">
        <v>6491</v>
      </c>
      <c r="BC5" s="5">
        <v>2079</v>
      </c>
      <c r="BD5" s="52" t="s">
        <v>338</v>
      </c>
      <c r="BE5" s="5">
        <v>6394</v>
      </c>
      <c r="BF5" s="5">
        <v>761.39430000000004</v>
      </c>
      <c r="BG5" s="5">
        <v>692</v>
      </c>
      <c r="BH5" s="5">
        <v>692</v>
      </c>
      <c r="BI5" s="5">
        <v>6491</v>
      </c>
      <c r="BJ5" s="5">
        <v>2290</v>
      </c>
      <c r="BK5" s="5">
        <v>1867</v>
      </c>
      <c r="BL5" s="5">
        <v>761.39430000000004</v>
      </c>
      <c r="BM5" s="5">
        <v>1675068</v>
      </c>
      <c r="BN5" s="5">
        <v>2182</v>
      </c>
      <c r="BO5" s="5">
        <v>13519.0288</v>
      </c>
      <c r="BP5" s="5">
        <v>105182</v>
      </c>
      <c r="BQ5" s="5">
        <v>118701.0288</v>
      </c>
      <c r="BR5" s="5">
        <v>770.28</v>
      </c>
      <c r="BS5" s="5">
        <v>1675068</v>
      </c>
      <c r="BT5" s="5">
        <v>1483290</v>
      </c>
      <c r="BU5" s="5">
        <v>4.0165191002096172E-3</v>
      </c>
      <c r="BV5" s="5" t="s">
        <v>338</v>
      </c>
      <c r="BW5" s="5">
        <v>692</v>
      </c>
      <c r="BX5" s="5">
        <v>13519.0288</v>
      </c>
      <c r="BY5" s="5">
        <v>105182</v>
      </c>
      <c r="BZ5" s="5">
        <v>118701.0288</v>
      </c>
      <c r="CA5" s="5">
        <v>2122.6590000000001</v>
      </c>
      <c r="CB5" s="5">
        <v>12155.457</v>
      </c>
      <c r="CC5" s="5">
        <v>1870.548</v>
      </c>
      <c r="CD5" s="5">
        <v>23500</v>
      </c>
      <c r="CE5" s="5">
        <v>263807</v>
      </c>
      <c r="CF5" s="5">
        <v>13103582</v>
      </c>
      <c r="CG5" s="5">
        <v>35.89</v>
      </c>
      <c r="CH5" s="5">
        <v>648593</v>
      </c>
      <c r="CI5" s="5">
        <v>130</v>
      </c>
      <c r="CJ5" s="5">
        <v>1870548</v>
      </c>
      <c r="CK5" s="5">
        <v>23500</v>
      </c>
      <c r="CL5" s="5">
        <v>263807</v>
      </c>
      <c r="CM5" s="5">
        <v>922227</v>
      </c>
      <c r="CN5" s="43">
        <v>-894395.10800000001</v>
      </c>
      <c r="CO5" s="5">
        <v>1171665</v>
      </c>
      <c r="CP5" s="5">
        <v>0</v>
      </c>
      <c r="CQ5" s="5">
        <v>1500</v>
      </c>
      <c r="CR5" s="5">
        <v>59.76</v>
      </c>
      <c r="CS5" s="5">
        <v>69.540000000000006</v>
      </c>
      <c r="CT5" s="5">
        <v>502</v>
      </c>
      <c r="CU5" s="5">
        <v>90.34</v>
      </c>
      <c r="CV5" s="5">
        <v>2628</v>
      </c>
      <c r="CW5" s="5">
        <v>24545.48</v>
      </c>
      <c r="CX5" s="5">
        <v>59.86</v>
      </c>
      <c r="CY5" s="5">
        <v>59.76</v>
      </c>
      <c r="CZ5" s="5">
        <v>69.540000000000006</v>
      </c>
      <c r="DA5" s="5">
        <v>502</v>
      </c>
      <c r="DB5" s="5">
        <v>90.34</v>
      </c>
      <c r="DC5" s="5">
        <v>2628</v>
      </c>
      <c r="DD5" s="5">
        <v>24545.48</v>
      </c>
      <c r="DE5" s="5">
        <v>99.65</v>
      </c>
      <c r="DF5" s="5">
        <v>620.01</v>
      </c>
      <c r="DG5" s="5">
        <v>67.11</v>
      </c>
      <c r="DH5" s="5">
        <v>67.88</v>
      </c>
      <c r="DI5" s="5">
        <v>105.65</v>
      </c>
      <c r="DJ5" s="5">
        <v>99.65</v>
      </c>
      <c r="DK5" s="5">
        <v>620.01</v>
      </c>
      <c r="DL5" s="5">
        <v>71.046999999999997</v>
      </c>
      <c r="DM5" s="5">
        <v>1654</v>
      </c>
      <c r="DN5" s="5">
        <v>67.11</v>
      </c>
      <c r="DO5" s="5">
        <v>67.88</v>
      </c>
      <c r="DP5" s="5">
        <v>105.65</v>
      </c>
    </row>
    <row r="6" spans="1:120" x14ac:dyDescent="0.35">
      <c r="B6">
        <v>2</v>
      </c>
      <c r="C6" s="11">
        <v>399.44799999999998</v>
      </c>
      <c r="D6" s="5">
        <v>2146.5</v>
      </c>
      <c r="E6" s="5">
        <v>1125</v>
      </c>
      <c r="F6" s="11">
        <v>1.9076086956521738</v>
      </c>
      <c r="G6" s="5">
        <v>78.323000000000008</v>
      </c>
      <c r="H6" s="5">
        <v>2060.5</v>
      </c>
      <c r="I6" s="11">
        <v>37.19</v>
      </c>
      <c r="J6" s="5">
        <v>377773</v>
      </c>
      <c r="K6" s="5">
        <v>128</v>
      </c>
      <c r="L6" s="11">
        <v>2.8</v>
      </c>
      <c r="M6" s="5">
        <v>128</v>
      </c>
      <c r="N6" s="5">
        <v>14886.79412</v>
      </c>
      <c r="O6" s="5">
        <v>399.44799999999998</v>
      </c>
      <c r="P6" s="5">
        <v>14886.79412</v>
      </c>
      <c r="Q6" s="5">
        <v>107577.79412000001</v>
      </c>
      <c r="R6" s="5">
        <v>92691</v>
      </c>
      <c r="S6" s="5">
        <v>13052.920767756001</v>
      </c>
      <c r="T6" s="5">
        <v>0.12179999999999999</v>
      </c>
      <c r="U6" s="5">
        <v>107577.79412000001</v>
      </c>
      <c r="V6" s="5">
        <v>53207.521250000005</v>
      </c>
      <c r="W6" s="5">
        <v>2.5000000000000001E-3</v>
      </c>
      <c r="X6" s="5">
        <v>21283008.5</v>
      </c>
      <c r="Y6" s="5">
        <v>968.505</v>
      </c>
      <c r="Z6" s="5">
        <v>7184.5</v>
      </c>
      <c r="AA6" s="5">
        <v>1745.0165</v>
      </c>
      <c r="AB6" s="5">
        <v>778.14</v>
      </c>
      <c r="AC6" s="5">
        <v>1271.8609999999999</v>
      </c>
      <c r="AD6" s="5">
        <v>5.3499999999999999E-2</v>
      </c>
      <c r="AE6" s="5">
        <v>795.59265000000005</v>
      </c>
      <c r="AF6" s="5">
        <v>942443</v>
      </c>
      <c r="AG6" s="5">
        <v>24312.614855</v>
      </c>
      <c r="AH6" s="5">
        <v>21283008.5</v>
      </c>
      <c r="AI6" s="5">
        <v>53207.521250000005</v>
      </c>
      <c r="AJ6" s="5">
        <v>778140</v>
      </c>
      <c r="AK6" s="5">
        <v>28058.1675</v>
      </c>
      <c r="AL6" s="5">
        <v>4936.95</v>
      </c>
      <c r="AM6" s="5">
        <v>7184.5</v>
      </c>
      <c r="AN6" s="5">
        <v>231.27528849999999</v>
      </c>
      <c r="AO6" s="5">
        <v>44.681716194107658</v>
      </c>
      <c r="AP6" s="5">
        <v>3.3013555808897559</v>
      </c>
      <c r="AQ6" s="5">
        <v>27553.573</v>
      </c>
      <c r="AR6" s="5">
        <v>348.5</v>
      </c>
      <c r="AS6" s="5">
        <v>1750</v>
      </c>
      <c r="AT6" s="5">
        <v>8777</v>
      </c>
      <c r="AU6" s="5">
        <v>15360700</v>
      </c>
      <c r="AV6" s="5">
        <v>1079127.7649999987</v>
      </c>
      <c r="AW6" s="5">
        <v>24312.614855</v>
      </c>
      <c r="AX6" s="5">
        <v>28058.1675</v>
      </c>
      <c r="AY6" s="5">
        <v>-3745.5526449999979</v>
      </c>
      <c r="AZ6" s="5">
        <v>2303</v>
      </c>
      <c r="BA6" s="5">
        <v>6442.5</v>
      </c>
      <c r="BB6" s="5">
        <v>6530.5</v>
      </c>
      <c r="BC6" s="5">
        <v>2146.5</v>
      </c>
      <c r="BD6" s="52" t="s">
        <v>338</v>
      </c>
      <c r="BE6" s="5">
        <v>6442.5</v>
      </c>
      <c r="BF6" s="5">
        <v>795.59265000000005</v>
      </c>
      <c r="BG6" s="5">
        <v>654</v>
      </c>
      <c r="BH6" s="5">
        <v>654</v>
      </c>
      <c r="BI6" s="5">
        <v>6530.5</v>
      </c>
      <c r="BJ6" s="5">
        <v>2303</v>
      </c>
      <c r="BK6" s="5">
        <v>1824</v>
      </c>
      <c r="BL6" s="5">
        <v>795.59265000000005</v>
      </c>
      <c r="BM6" s="5">
        <v>1730833</v>
      </c>
      <c r="BN6" s="5">
        <v>2253</v>
      </c>
      <c r="BO6" s="5">
        <v>14886.79412</v>
      </c>
      <c r="BP6" s="5">
        <v>92691</v>
      </c>
      <c r="BQ6" s="5">
        <v>107577.79412000001</v>
      </c>
      <c r="BR6" s="5">
        <v>778.14</v>
      </c>
      <c r="BS6" s="5">
        <v>1730833</v>
      </c>
      <c r="BT6" s="5">
        <v>1579179</v>
      </c>
      <c r="BU6" s="5">
        <v>5.5319751423221486E-3</v>
      </c>
      <c r="BV6" s="5" t="s">
        <v>338</v>
      </c>
      <c r="BW6" s="5">
        <v>654</v>
      </c>
      <c r="BX6" s="5">
        <v>14886.79412</v>
      </c>
      <c r="BY6" s="5">
        <v>92691</v>
      </c>
      <c r="BZ6" s="5">
        <v>107577.79412000001</v>
      </c>
      <c r="CA6" s="5">
        <v>2248.0335</v>
      </c>
      <c r="CB6" s="5">
        <v>12356.373500000002</v>
      </c>
      <c r="CC6" s="5">
        <v>1900.4690000000001</v>
      </c>
      <c r="CD6" s="5">
        <v>24250</v>
      </c>
      <c r="CE6" s="5">
        <v>264403</v>
      </c>
      <c r="CF6" s="5">
        <v>12905779.5</v>
      </c>
      <c r="CG6" s="5">
        <v>36.480000000000004</v>
      </c>
      <c r="CH6" s="5">
        <v>674508.5</v>
      </c>
      <c r="CI6" s="5">
        <v>132</v>
      </c>
      <c r="CJ6" s="5">
        <v>1900469</v>
      </c>
      <c r="CK6" s="5">
        <v>24250</v>
      </c>
      <c r="CL6" s="5">
        <v>264403</v>
      </c>
      <c r="CM6" s="5">
        <v>942443</v>
      </c>
      <c r="CN6" s="43">
        <v>-914384.83250000002</v>
      </c>
      <c r="CO6" s="5">
        <v>1204452</v>
      </c>
      <c r="CP6" s="5">
        <v>0</v>
      </c>
      <c r="CQ6" s="5">
        <v>1600</v>
      </c>
      <c r="CR6" s="5">
        <v>58.7</v>
      </c>
      <c r="CS6" s="5">
        <v>69.64500000000001</v>
      </c>
      <c r="CT6" s="5">
        <v>510</v>
      </c>
      <c r="CU6" s="5">
        <v>90.56</v>
      </c>
      <c r="CV6" s="5">
        <v>2678.5</v>
      </c>
      <c r="CW6" s="5">
        <v>24925.05</v>
      </c>
      <c r="CX6" s="5">
        <v>59.81</v>
      </c>
      <c r="CY6" s="5">
        <v>58.7</v>
      </c>
      <c r="CZ6" s="5">
        <v>69.64500000000001</v>
      </c>
      <c r="DA6" s="5">
        <v>510</v>
      </c>
      <c r="DB6" s="5">
        <v>90.56</v>
      </c>
      <c r="DC6" s="5">
        <v>2678.5</v>
      </c>
      <c r="DD6" s="5">
        <v>24925.05</v>
      </c>
      <c r="DE6" s="5">
        <v>100.65</v>
      </c>
      <c r="DF6" s="5">
        <v>641.20499999999993</v>
      </c>
      <c r="DG6" s="5">
        <v>66.984999999999999</v>
      </c>
      <c r="DH6" s="5">
        <v>68.039999999999992</v>
      </c>
      <c r="DI6" s="5">
        <v>102.65</v>
      </c>
      <c r="DJ6" s="5">
        <v>100.65</v>
      </c>
      <c r="DK6" s="5">
        <v>641.20499999999993</v>
      </c>
      <c r="DL6" s="5">
        <v>78.323000000000008</v>
      </c>
      <c r="DM6" s="5">
        <v>2060.5</v>
      </c>
      <c r="DN6" s="5">
        <v>66.984999999999999</v>
      </c>
      <c r="DO6" s="5">
        <v>68.039999999999992</v>
      </c>
      <c r="DP6" s="5">
        <v>102.65</v>
      </c>
    </row>
    <row r="7" spans="1:120" x14ac:dyDescent="0.35">
      <c r="A7">
        <v>2002</v>
      </c>
      <c r="B7">
        <v>1</v>
      </c>
      <c r="C7" s="11">
        <v>419.14800000000002</v>
      </c>
      <c r="D7" s="5">
        <v>2214</v>
      </c>
      <c r="E7" s="5">
        <v>1150</v>
      </c>
      <c r="F7" s="11">
        <v>1.9252173913043478</v>
      </c>
      <c r="G7" s="5">
        <v>85.599000000000004</v>
      </c>
      <c r="H7" s="5">
        <v>2467</v>
      </c>
      <c r="I7" s="6">
        <v>38.78</v>
      </c>
      <c r="J7" s="5">
        <v>379748</v>
      </c>
      <c r="K7" s="5">
        <v>129</v>
      </c>
      <c r="L7">
        <v>2.87</v>
      </c>
      <c r="M7" s="5">
        <v>127</v>
      </c>
      <c r="N7" s="5">
        <v>16254.559440000001</v>
      </c>
      <c r="O7" s="5">
        <v>419.14800000000002</v>
      </c>
      <c r="P7" s="5">
        <v>16254.559440000001</v>
      </c>
      <c r="Q7" s="5">
        <v>96454.559439999997</v>
      </c>
      <c r="R7" s="5">
        <v>80200</v>
      </c>
      <c r="S7" s="5">
        <v>12182.210857271999</v>
      </c>
      <c r="T7" s="5">
        <v>0.1263</v>
      </c>
      <c r="U7" s="5">
        <v>96454.559439999997</v>
      </c>
      <c r="V7" s="5">
        <v>55051.755000000005</v>
      </c>
      <c r="W7" s="5">
        <v>2.5000000000000001E-3</v>
      </c>
      <c r="X7" s="5">
        <v>22020702</v>
      </c>
      <c r="Y7" s="5">
        <v>974.351</v>
      </c>
      <c r="Z7" s="5">
        <v>7186</v>
      </c>
      <c r="AA7" s="5">
        <v>1755.55</v>
      </c>
      <c r="AB7" s="5">
        <v>786</v>
      </c>
      <c r="AC7" s="5">
        <v>1306.4829999999999</v>
      </c>
      <c r="AD7" s="5">
        <v>5.2999999999999999E-2</v>
      </c>
      <c r="AE7" s="5">
        <v>829.79099999999994</v>
      </c>
      <c r="AF7" s="5">
        <v>962659</v>
      </c>
      <c r="AG7" s="5">
        <v>24558.196820000001</v>
      </c>
      <c r="AH7" s="5">
        <v>22020702</v>
      </c>
      <c r="AI7" s="5">
        <v>55051.755000000005</v>
      </c>
      <c r="AJ7" s="5">
        <v>786000</v>
      </c>
      <c r="AK7" s="5">
        <v>28284.442999999999</v>
      </c>
      <c r="AL7" s="5">
        <v>5092.2</v>
      </c>
      <c r="AM7" s="5">
        <v>7186</v>
      </c>
      <c r="AN7" s="5">
        <v>231.98283599999999</v>
      </c>
      <c r="AO7" s="5">
        <v>44.974047502876353</v>
      </c>
      <c r="AP7" s="5">
        <v>3.3014640731433</v>
      </c>
      <c r="AQ7" s="5">
        <v>27831.892</v>
      </c>
      <c r="AR7" s="5">
        <v>330</v>
      </c>
      <c r="AS7" s="5">
        <v>1800</v>
      </c>
      <c r="AT7" s="5">
        <v>8796</v>
      </c>
      <c r="AU7" s="5">
        <v>15832800</v>
      </c>
      <c r="AV7" s="5">
        <v>481861.02999999747</v>
      </c>
      <c r="AW7" s="5">
        <v>24558.196820000001</v>
      </c>
      <c r="AX7" s="5">
        <v>28284.442999999999</v>
      </c>
      <c r="AY7" s="5">
        <v>-3726.2461799999983</v>
      </c>
      <c r="AZ7" s="5">
        <v>2316</v>
      </c>
      <c r="BA7" s="5">
        <v>6491</v>
      </c>
      <c r="BB7" s="5">
        <v>6570</v>
      </c>
      <c r="BC7" s="5">
        <v>2214</v>
      </c>
      <c r="BD7" s="52" t="s">
        <v>339</v>
      </c>
      <c r="BE7" s="5">
        <v>6491</v>
      </c>
      <c r="BF7" s="5">
        <v>829.79099999999994</v>
      </c>
      <c r="BG7" s="5">
        <v>616</v>
      </c>
      <c r="BH7" s="5">
        <v>616</v>
      </c>
      <c r="BI7" s="5">
        <v>6570</v>
      </c>
      <c r="BJ7" s="5">
        <v>2316</v>
      </c>
      <c r="BK7" s="5">
        <v>1781</v>
      </c>
      <c r="BL7" s="5">
        <v>829.79099999999994</v>
      </c>
      <c r="BM7" s="5">
        <v>1786598</v>
      </c>
      <c r="BN7" s="5">
        <v>2324</v>
      </c>
      <c r="BO7" s="5">
        <v>16254.559440000001</v>
      </c>
      <c r="BP7" s="5">
        <v>80200</v>
      </c>
      <c r="BQ7" s="5">
        <v>96454.559439999997</v>
      </c>
      <c r="BR7" s="5">
        <v>786</v>
      </c>
      <c r="BS7" s="5">
        <v>1786598</v>
      </c>
      <c r="BT7" s="5">
        <v>1675068</v>
      </c>
      <c r="BU7" s="5">
        <v>7.0474311844346809E-3</v>
      </c>
      <c r="BV7" s="5" t="s">
        <v>339</v>
      </c>
      <c r="BW7" s="5">
        <v>616</v>
      </c>
      <c r="BX7" s="5">
        <v>16254.559440000001</v>
      </c>
      <c r="BY7" s="5">
        <v>80200</v>
      </c>
      <c r="BZ7" s="5">
        <v>96454.559439999997</v>
      </c>
      <c r="CA7" s="5">
        <v>2373.4079999999999</v>
      </c>
      <c r="CB7" s="5">
        <v>12557.29</v>
      </c>
      <c r="CC7" s="5">
        <v>1930.39</v>
      </c>
      <c r="CD7" s="5">
        <v>25000</v>
      </c>
      <c r="CE7" s="5">
        <v>264999</v>
      </c>
      <c r="CF7" s="5">
        <v>12707977</v>
      </c>
      <c r="CG7" s="5">
        <v>37.07</v>
      </c>
      <c r="CH7" s="5">
        <v>700424</v>
      </c>
      <c r="CI7" s="5">
        <v>134</v>
      </c>
      <c r="CJ7" s="5">
        <v>1930390</v>
      </c>
      <c r="CK7" s="5">
        <v>25000</v>
      </c>
      <c r="CL7" s="5">
        <v>264999</v>
      </c>
      <c r="CM7" s="5">
        <v>962659</v>
      </c>
      <c r="CN7" s="43">
        <v>-934374.55700000003</v>
      </c>
      <c r="CO7" s="5">
        <v>1237239</v>
      </c>
      <c r="CP7" s="5">
        <v>0</v>
      </c>
      <c r="CQ7" s="5">
        <v>1700</v>
      </c>
      <c r="CR7" s="5">
        <v>57.64</v>
      </c>
      <c r="CS7" s="5">
        <v>69.75</v>
      </c>
      <c r="CT7" s="5">
        <v>518</v>
      </c>
      <c r="CU7" s="5">
        <v>90.78</v>
      </c>
      <c r="CV7" s="5">
        <v>2729</v>
      </c>
      <c r="CW7" s="5">
        <v>25304.62</v>
      </c>
      <c r="CX7" s="5">
        <v>59.76</v>
      </c>
      <c r="CY7" s="5">
        <v>57.64</v>
      </c>
      <c r="CZ7" s="5">
        <v>69.75</v>
      </c>
      <c r="DA7" s="5">
        <v>518</v>
      </c>
      <c r="DB7" s="5">
        <v>90.78</v>
      </c>
      <c r="DC7" s="5">
        <v>2729</v>
      </c>
      <c r="DD7" s="5">
        <v>25304.62</v>
      </c>
      <c r="DE7" s="5">
        <v>101.65</v>
      </c>
      <c r="DF7" s="5">
        <v>662.4</v>
      </c>
      <c r="DG7" s="5">
        <v>66.86</v>
      </c>
      <c r="DH7" s="5">
        <v>68.2</v>
      </c>
      <c r="DI7" s="5">
        <v>99.65</v>
      </c>
      <c r="DJ7" s="5">
        <v>101.65</v>
      </c>
      <c r="DK7" s="5">
        <v>662.4</v>
      </c>
      <c r="DL7" s="5">
        <v>85.599000000000004</v>
      </c>
      <c r="DM7" s="5">
        <v>2467</v>
      </c>
      <c r="DN7" s="5">
        <v>66.86</v>
      </c>
      <c r="DO7" s="5">
        <v>68.2</v>
      </c>
      <c r="DP7" s="5">
        <v>99.65</v>
      </c>
    </row>
    <row r="8" spans="1:120" x14ac:dyDescent="0.35">
      <c r="B8">
        <v>2</v>
      </c>
      <c r="C8" s="11">
        <v>428.79349999999999</v>
      </c>
      <c r="D8" s="5">
        <v>2366.5</v>
      </c>
      <c r="E8" s="5">
        <v>1175</v>
      </c>
      <c r="F8" s="11">
        <v>2.0121920289855071</v>
      </c>
      <c r="G8" s="5">
        <v>90.354500000000002</v>
      </c>
      <c r="H8" s="5">
        <v>2243</v>
      </c>
      <c r="I8" s="11">
        <v>40.284999999999997</v>
      </c>
      <c r="J8" s="5">
        <v>399448</v>
      </c>
      <c r="K8" s="5">
        <v>127.5</v>
      </c>
      <c r="L8" s="11">
        <v>2.8050000000000002</v>
      </c>
      <c r="M8" s="5">
        <v>128</v>
      </c>
      <c r="N8" s="5">
        <v>17288.462625</v>
      </c>
      <c r="O8" s="5">
        <v>428.79349999999999</v>
      </c>
      <c r="P8" s="5">
        <v>17288.462625</v>
      </c>
      <c r="Q8" s="5">
        <v>91701.462625</v>
      </c>
      <c r="R8" s="5">
        <v>74413</v>
      </c>
      <c r="S8" s="5">
        <v>11312.354795526498</v>
      </c>
      <c r="T8" s="5">
        <v>0.1232</v>
      </c>
      <c r="U8" s="5">
        <v>91701.462625</v>
      </c>
      <c r="V8" s="5">
        <v>59320.474050000004</v>
      </c>
      <c r="W8" s="5">
        <v>2.5999999999999999E-3</v>
      </c>
      <c r="X8" s="5">
        <v>22786127.5</v>
      </c>
      <c r="Y8" s="5">
        <v>977.78500000000008</v>
      </c>
      <c r="Z8" s="5">
        <v>7238.5</v>
      </c>
      <c r="AA8" s="5">
        <v>1821.6190000000001</v>
      </c>
      <c r="AB8" s="5">
        <v>795.25199999999995</v>
      </c>
      <c r="AC8" s="5">
        <v>1343.0425</v>
      </c>
      <c r="AD8" s="5">
        <v>5.3999999999999999E-2</v>
      </c>
      <c r="AE8" s="5">
        <v>813.44734999999991</v>
      </c>
      <c r="AF8" s="5">
        <v>968505</v>
      </c>
      <c r="AG8" s="5">
        <v>24860.141865000001</v>
      </c>
      <c r="AH8" s="5">
        <v>22786127.5</v>
      </c>
      <c r="AI8" s="5">
        <v>59320.474050000004</v>
      </c>
      <c r="AJ8" s="5">
        <v>795252</v>
      </c>
      <c r="AK8" s="5">
        <v>28441.737999999998</v>
      </c>
      <c r="AL8" s="5">
        <v>5442.95</v>
      </c>
      <c r="AM8" s="5">
        <v>7238.5</v>
      </c>
      <c r="AN8" s="5">
        <v>232.6947265</v>
      </c>
      <c r="AO8" s="5">
        <v>45.270229173361358</v>
      </c>
      <c r="AP8" s="5">
        <v>3.3015725112184384</v>
      </c>
      <c r="AQ8" s="5">
        <v>28058.1675</v>
      </c>
      <c r="AR8" s="5">
        <v>340</v>
      </c>
      <c r="AS8" s="5">
        <v>1900</v>
      </c>
      <c r="AT8" s="5">
        <v>8814</v>
      </c>
      <c r="AU8" s="5">
        <v>16748400</v>
      </c>
      <c r="AV8" s="5">
        <v>524523.2349999994</v>
      </c>
      <c r="AW8" s="5">
        <v>24860.141865000001</v>
      </c>
      <c r="AX8" s="5">
        <v>28441.737999999998</v>
      </c>
      <c r="AY8" s="5">
        <v>-3581.596134999998</v>
      </c>
      <c r="AZ8" s="5">
        <v>2506</v>
      </c>
      <c r="BA8" s="5">
        <v>6530.5</v>
      </c>
      <c r="BB8" s="5">
        <v>6603.5</v>
      </c>
      <c r="BC8" s="5">
        <v>2366.5</v>
      </c>
      <c r="BD8" s="52" t="s">
        <v>339</v>
      </c>
      <c r="BE8" s="5">
        <v>6530.5</v>
      </c>
      <c r="BF8" s="5">
        <v>813.44734999999991</v>
      </c>
      <c r="BG8" s="5">
        <v>635</v>
      </c>
      <c r="BH8" s="5">
        <v>635</v>
      </c>
      <c r="BI8" s="5">
        <v>6603.5</v>
      </c>
      <c r="BJ8" s="5">
        <v>2506</v>
      </c>
      <c r="BK8" s="5">
        <v>2011</v>
      </c>
      <c r="BL8" s="5">
        <v>813.44734999999991</v>
      </c>
      <c r="BM8" s="5">
        <v>1855002</v>
      </c>
      <c r="BN8" s="5">
        <v>2484</v>
      </c>
      <c r="BO8" s="5">
        <v>17288.462625</v>
      </c>
      <c r="BP8" s="5">
        <v>74413</v>
      </c>
      <c r="BQ8" s="5">
        <v>91701.462625</v>
      </c>
      <c r="BR8" s="5">
        <v>795.25199999999995</v>
      </c>
      <c r="BS8" s="5">
        <v>1855002</v>
      </c>
      <c r="BT8" s="5">
        <v>1730833</v>
      </c>
      <c r="BU8" s="5">
        <v>6.4639822432903775E-3</v>
      </c>
      <c r="BV8" s="5" t="s">
        <v>339</v>
      </c>
      <c r="BW8" s="5">
        <v>635</v>
      </c>
      <c r="BX8" s="5">
        <v>17288.462625</v>
      </c>
      <c r="BY8" s="5">
        <v>74413</v>
      </c>
      <c r="BZ8" s="5">
        <v>91701.462625</v>
      </c>
      <c r="CA8" s="5">
        <v>2481.4700000000003</v>
      </c>
      <c r="CB8" s="5">
        <v>12731.517500000002</v>
      </c>
      <c r="CC8" s="5">
        <v>1970.6065000000001</v>
      </c>
      <c r="CD8" s="5">
        <v>26500</v>
      </c>
      <c r="CE8" s="5">
        <v>266068</v>
      </c>
      <c r="CF8" s="5">
        <v>12806861</v>
      </c>
      <c r="CG8" s="5">
        <v>39.575000000000003</v>
      </c>
      <c r="CH8" s="5">
        <v>741074</v>
      </c>
      <c r="CI8" s="5">
        <v>135.5</v>
      </c>
      <c r="CJ8" s="5">
        <v>1970606.5</v>
      </c>
      <c r="CK8" s="5">
        <v>26500</v>
      </c>
      <c r="CL8" s="5">
        <v>266068</v>
      </c>
      <c r="CM8" s="5">
        <v>968505</v>
      </c>
      <c r="CN8" s="43">
        <v>-940063.26199999999</v>
      </c>
      <c r="CO8" s="5">
        <v>1271861</v>
      </c>
      <c r="CP8" s="5">
        <v>0</v>
      </c>
      <c r="CQ8" s="5">
        <v>1750</v>
      </c>
      <c r="CR8" s="5">
        <v>58.695</v>
      </c>
      <c r="CS8" s="5">
        <v>69.694999999999993</v>
      </c>
      <c r="CT8" s="5">
        <v>511</v>
      </c>
      <c r="CU8" s="5">
        <v>90.715000000000003</v>
      </c>
      <c r="CV8" s="5">
        <v>2774</v>
      </c>
      <c r="CW8" s="5">
        <v>25790.744999999999</v>
      </c>
      <c r="CX8" s="5">
        <v>58.7</v>
      </c>
      <c r="CY8" s="5">
        <v>58.695</v>
      </c>
      <c r="CZ8" s="5">
        <v>69.694999999999993</v>
      </c>
      <c r="DA8" s="5">
        <v>511</v>
      </c>
      <c r="DB8" s="5">
        <v>90.715000000000003</v>
      </c>
      <c r="DC8" s="5">
        <v>2774</v>
      </c>
      <c r="DD8" s="5">
        <v>25790.744999999999</v>
      </c>
      <c r="DE8" s="5">
        <v>101.095</v>
      </c>
      <c r="DF8" s="5">
        <v>685.05</v>
      </c>
      <c r="DG8" s="5">
        <v>66.990000000000009</v>
      </c>
      <c r="DH8" s="5">
        <v>68.36</v>
      </c>
      <c r="DI8" s="5">
        <v>100.65</v>
      </c>
      <c r="DJ8" s="5">
        <v>101.095</v>
      </c>
      <c r="DK8" s="5">
        <v>685.05</v>
      </c>
      <c r="DL8" s="5">
        <v>90.354500000000002</v>
      </c>
      <c r="DM8" s="5">
        <v>2243</v>
      </c>
      <c r="DN8" s="5">
        <v>66.990000000000009</v>
      </c>
      <c r="DO8" s="5">
        <v>68.36</v>
      </c>
      <c r="DP8" s="5">
        <v>100.65</v>
      </c>
    </row>
    <row r="9" spans="1:120" x14ac:dyDescent="0.35">
      <c r="A9">
        <v>2003</v>
      </c>
      <c r="B9">
        <v>1</v>
      </c>
      <c r="C9" s="11">
        <v>438.43900000000002</v>
      </c>
      <c r="D9" s="5">
        <v>2519</v>
      </c>
      <c r="E9" s="5">
        <v>1200</v>
      </c>
      <c r="F9" s="11">
        <v>2.0991666666666666</v>
      </c>
      <c r="G9" s="5">
        <v>95.11</v>
      </c>
      <c r="H9" s="5">
        <v>2019</v>
      </c>
      <c r="I9" s="6">
        <v>41.79</v>
      </c>
      <c r="J9" s="5">
        <v>419148</v>
      </c>
      <c r="K9" s="5">
        <v>126</v>
      </c>
      <c r="L9">
        <v>2.74</v>
      </c>
      <c r="M9" s="5">
        <v>129</v>
      </c>
      <c r="N9" s="5">
        <v>18322.365809999999</v>
      </c>
      <c r="O9" s="5">
        <v>438.43900000000002</v>
      </c>
      <c r="P9" s="5">
        <v>18322.365809999999</v>
      </c>
      <c r="Q9" s="5">
        <v>86948.365810000003</v>
      </c>
      <c r="R9" s="5">
        <v>68626</v>
      </c>
      <c r="S9" s="5">
        <v>10442.498733781</v>
      </c>
      <c r="T9" s="5">
        <v>0.1201</v>
      </c>
      <c r="U9" s="5">
        <v>86948.365810000003</v>
      </c>
      <c r="V9" s="5">
        <v>63589.193100000004</v>
      </c>
      <c r="W9" s="5">
        <v>2.7000000000000001E-3</v>
      </c>
      <c r="X9" s="5">
        <v>23551553</v>
      </c>
      <c r="Y9" s="5">
        <v>981.21900000000005</v>
      </c>
      <c r="Z9" s="5">
        <v>7291</v>
      </c>
      <c r="AA9" s="5">
        <v>1887.6880000000001</v>
      </c>
      <c r="AB9" s="5">
        <v>804.50400000000002</v>
      </c>
      <c r="AC9" s="5">
        <v>1379.6020000000001</v>
      </c>
      <c r="AD9" s="5">
        <v>5.5E-2</v>
      </c>
      <c r="AE9" s="5">
        <v>797.1037</v>
      </c>
      <c r="AF9" s="5">
        <v>974351</v>
      </c>
      <c r="AG9" s="5">
        <v>25162.086910000002</v>
      </c>
      <c r="AH9" s="5">
        <v>23551553</v>
      </c>
      <c r="AI9" s="5">
        <v>63589.193100000004</v>
      </c>
      <c r="AJ9" s="5">
        <v>804504</v>
      </c>
      <c r="AK9" s="5">
        <v>28599.032999999999</v>
      </c>
      <c r="AL9" s="5">
        <v>5793.7</v>
      </c>
      <c r="AM9" s="5">
        <v>7291</v>
      </c>
      <c r="AN9" s="5">
        <v>233.40661700000001</v>
      </c>
      <c r="AO9" s="5">
        <v>45.566410843846356</v>
      </c>
      <c r="AP9" s="5">
        <v>3.3016809492935764</v>
      </c>
      <c r="AQ9" s="5">
        <v>28284.442999999999</v>
      </c>
      <c r="AR9" s="5">
        <v>350</v>
      </c>
      <c r="AS9" s="5">
        <v>2000</v>
      </c>
      <c r="AT9" s="5">
        <v>8832</v>
      </c>
      <c r="AU9" s="5">
        <v>17664000</v>
      </c>
      <c r="AV9" s="5">
        <v>567185.44000000134</v>
      </c>
      <c r="AW9" s="5">
        <v>25162.086910000002</v>
      </c>
      <c r="AX9" s="5">
        <v>28599.032999999999</v>
      </c>
      <c r="AY9" s="5">
        <v>-3436.9460899999976</v>
      </c>
      <c r="AZ9" s="5">
        <v>2696</v>
      </c>
      <c r="BA9" s="5">
        <v>6570</v>
      </c>
      <c r="BB9" s="5">
        <v>6637</v>
      </c>
      <c r="BC9" s="5">
        <v>2519</v>
      </c>
      <c r="BD9" s="52" t="s">
        <v>340</v>
      </c>
      <c r="BE9" s="5">
        <v>6570</v>
      </c>
      <c r="BF9" s="5">
        <v>797.1037</v>
      </c>
      <c r="BG9" s="5">
        <v>654</v>
      </c>
      <c r="BH9" s="5">
        <v>654</v>
      </c>
      <c r="BI9" s="5">
        <v>6637</v>
      </c>
      <c r="BJ9" s="5">
        <v>2696</v>
      </c>
      <c r="BK9" s="5">
        <v>2241</v>
      </c>
      <c r="BL9" s="5">
        <v>797.1037</v>
      </c>
      <c r="BM9" s="5">
        <v>1923406</v>
      </c>
      <c r="BN9" s="5">
        <v>2644</v>
      </c>
      <c r="BO9" s="5">
        <v>18322.365809999999</v>
      </c>
      <c r="BP9" s="5">
        <v>68626</v>
      </c>
      <c r="BQ9" s="5">
        <v>86948.365810000003</v>
      </c>
      <c r="BR9" s="5">
        <v>804.50400000000002</v>
      </c>
      <c r="BS9" s="5">
        <v>1923406</v>
      </c>
      <c r="BT9" s="5">
        <v>1786598</v>
      </c>
      <c r="BU9" s="5">
        <v>5.8805333021460732E-3</v>
      </c>
      <c r="BV9" s="5" t="s">
        <v>340</v>
      </c>
      <c r="BW9" s="5">
        <v>654</v>
      </c>
      <c r="BX9" s="5">
        <v>18322.365809999999</v>
      </c>
      <c r="BY9" s="5">
        <v>68626</v>
      </c>
      <c r="BZ9" s="5">
        <v>86948.365810000003</v>
      </c>
      <c r="CA9" s="5">
        <v>2589.5320000000002</v>
      </c>
      <c r="CB9" s="5">
        <v>12905.745000000001</v>
      </c>
      <c r="CC9" s="5">
        <v>2010.8230000000001</v>
      </c>
      <c r="CD9" s="5">
        <v>28000</v>
      </c>
      <c r="CE9" s="5">
        <v>267137</v>
      </c>
      <c r="CF9" s="5">
        <v>12905745</v>
      </c>
      <c r="CG9" s="5">
        <v>42.08</v>
      </c>
      <c r="CH9" s="5">
        <v>781724</v>
      </c>
      <c r="CI9" s="5">
        <v>137</v>
      </c>
      <c r="CJ9" s="5">
        <v>2010823</v>
      </c>
      <c r="CK9" s="5">
        <v>28000</v>
      </c>
      <c r="CL9" s="5">
        <v>267137</v>
      </c>
      <c r="CM9" s="5">
        <v>974351</v>
      </c>
      <c r="CN9" s="43">
        <v>-945751.96699999995</v>
      </c>
      <c r="CO9" s="5">
        <v>1306483</v>
      </c>
      <c r="CP9" s="5">
        <v>0</v>
      </c>
      <c r="CQ9" s="5">
        <v>1800</v>
      </c>
      <c r="CR9" s="5">
        <v>59.75</v>
      </c>
      <c r="CS9" s="5">
        <v>69.64</v>
      </c>
      <c r="CT9" s="5">
        <v>504</v>
      </c>
      <c r="CU9" s="5">
        <v>90.65</v>
      </c>
      <c r="CV9" s="5">
        <v>2819</v>
      </c>
      <c r="CW9" s="5">
        <v>26276.87</v>
      </c>
      <c r="CX9" s="5">
        <v>57.64</v>
      </c>
      <c r="CY9" s="5">
        <v>59.75</v>
      </c>
      <c r="CZ9" s="5">
        <v>69.64</v>
      </c>
      <c r="DA9" s="5">
        <v>504</v>
      </c>
      <c r="DB9" s="5">
        <v>90.65</v>
      </c>
      <c r="DC9" s="5">
        <v>2819</v>
      </c>
      <c r="DD9" s="5">
        <v>26276.87</v>
      </c>
      <c r="DE9" s="5">
        <v>100.54</v>
      </c>
      <c r="DF9" s="5">
        <v>707.7</v>
      </c>
      <c r="DG9" s="5">
        <v>67.12</v>
      </c>
      <c r="DH9" s="5">
        <v>68.52</v>
      </c>
      <c r="DI9" s="5">
        <v>101.65</v>
      </c>
      <c r="DJ9" s="5">
        <v>100.54</v>
      </c>
      <c r="DK9" s="5">
        <v>707.7</v>
      </c>
      <c r="DL9" s="5">
        <v>95.11</v>
      </c>
      <c r="DM9" s="5">
        <v>2019</v>
      </c>
      <c r="DN9" s="5">
        <v>67.12</v>
      </c>
      <c r="DO9" s="5">
        <v>68.52</v>
      </c>
      <c r="DP9" s="5">
        <v>101.65</v>
      </c>
    </row>
    <row r="10" spans="1:120" x14ac:dyDescent="0.35">
      <c r="B10">
        <v>2</v>
      </c>
      <c r="C10" s="11">
        <v>455.95749999999998</v>
      </c>
      <c r="D10" s="5">
        <v>2630</v>
      </c>
      <c r="E10" s="5">
        <v>1225</v>
      </c>
      <c r="F10" s="11">
        <v>2.1459833333333336</v>
      </c>
      <c r="G10" s="5">
        <v>101.5945</v>
      </c>
      <c r="H10" s="5">
        <v>1941.5</v>
      </c>
      <c r="I10" s="11">
        <v>44.64</v>
      </c>
      <c r="J10" s="5">
        <v>428793.5</v>
      </c>
      <c r="K10" s="5">
        <v>123</v>
      </c>
      <c r="L10" s="11">
        <v>2.8050000000000002</v>
      </c>
      <c r="M10" s="5">
        <v>127.5</v>
      </c>
      <c r="N10" s="5">
        <v>20403.870524999998</v>
      </c>
      <c r="O10" s="5">
        <v>455.95749999999998</v>
      </c>
      <c r="P10" s="5">
        <v>20403.870524999998</v>
      </c>
      <c r="Q10" s="5">
        <v>108111.87052500001</v>
      </c>
      <c r="R10" s="5">
        <v>87708</v>
      </c>
      <c r="S10" s="5">
        <v>13132.902331578498</v>
      </c>
      <c r="T10" s="5">
        <v>0.12125</v>
      </c>
      <c r="U10" s="5">
        <v>108111.87052500001</v>
      </c>
      <c r="V10" s="5">
        <v>66722.74715000001</v>
      </c>
      <c r="W10" s="5">
        <v>2.7499999999999998E-3</v>
      </c>
      <c r="X10" s="5">
        <v>24250116</v>
      </c>
      <c r="Y10" s="5">
        <v>986.17499999999995</v>
      </c>
      <c r="Z10" s="5">
        <v>7294</v>
      </c>
      <c r="AA10" s="5">
        <v>1981.0350000000001</v>
      </c>
      <c r="AB10" s="5">
        <v>844.28700000000003</v>
      </c>
      <c r="AC10" s="5">
        <v>1418.2075</v>
      </c>
      <c r="AD10" s="5">
        <v>5.3999999999999999E-2</v>
      </c>
      <c r="AE10" s="5">
        <v>807.55144999999993</v>
      </c>
      <c r="AF10" s="5">
        <v>977785</v>
      </c>
      <c r="AG10" s="5">
        <v>25314.893105000003</v>
      </c>
      <c r="AH10" s="5">
        <v>24250116</v>
      </c>
      <c r="AI10" s="5">
        <v>66722.74715000001</v>
      </c>
      <c r="AJ10" s="5">
        <v>844287</v>
      </c>
      <c r="AK10" s="5">
        <v>28802.068500000001</v>
      </c>
      <c r="AL10" s="5">
        <v>6049</v>
      </c>
      <c r="AM10" s="5">
        <v>7294</v>
      </c>
      <c r="AN10" s="5">
        <v>234.12287600000002</v>
      </c>
      <c r="AO10" s="5">
        <v>45.866493590031766</v>
      </c>
      <c r="AP10" s="5">
        <v>3.3017893332443924</v>
      </c>
      <c r="AQ10" s="5">
        <v>28441.737999999998</v>
      </c>
      <c r="AR10" s="5">
        <v>340.5</v>
      </c>
      <c r="AS10" s="5">
        <v>2150</v>
      </c>
      <c r="AT10" s="5">
        <v>8849.5</v>
      </c>
      <c r="AU10" s="5">
        <v>19029050</v>
      </c>
      <c r="AV10" s="5">
        <v>445995.49000000022</v>
      </c>
      <c r="AW10" s="5">
        <v>25314.893105000003</v>
      </c>
      <c r="AX10" s="5">
        <v>28802.068500000001</v>
      </c>
      <c r="AY10" s="5">
        <v>-3487.1753949999984</v>
      </c>
      <c r="AZ10" s="5">
        <v>2974</v>
      </c>
      <c r="BA10" s="5">
        <v>6603.5</v>
      </c>
      <c r="BB10" s="5">
        <v>6660</v>
      </c>
      <c r="BC10" s="5">
        <v>2630</v>
      </c>
      <c r="BD10" s="52" t="s">
        <v>340</v>
      </c>
      <c r="BE10" s="5">
        <v>6603.5</v>
      </c>
      <c r="BF10" s="5">
        <v>807.55144999999993</v>
      </c>
      <c r="BG10" s="5">
        <v>634</v>
      </c>
      <c r="BH10" s="5">
        <v>634</v>
      </c>
      <c r="BI10" s="5">
        <v>6660</v>
      </c>
      <c r="BJ10" s="5">
        <v>2974</v>
      </c>
      <c r="BK10" s="5">
        <v>2235</v>
      </c>
      <c r="BL10" s="5">
        <v>807.55144999999993</v>
      </c>
      <c r="BM10" s="5">
        <v>1951855.5</v>
      </c>
      <c r="BN10" s="5">
        <v>2761</v>
      </c>
      <c r="BO10" s="5">
        <v>20403.870524999998</v>
      </c>
      <c r="BP10" s="5">
        <v>87708</v>
      </c>
      <c r="BQ10" s="5">
        <v>108111.87052500001</v>
      </c>
      <c r="BR10" s="5">
        <v>844.28700000000003</v>
      </c>
      <c r="BS10" s="5">
        <v>1951855.5</v>
      </c>
      <c r="BT10" s="5">
        <v>1855002</v>
      </c>
      <c r="BU10" s="5">
        <v>1.0709032358730466E-2</v>
      </c>
      <c r="BV10" s="5" t="s">
        <v>340</v>
      </c>
      <c r="BW10" s="5">
        <v>634</v>
      </c>
      <c r="BX10" s="5">
        <v>20403.870524999998</v>
      </c>
      <c r="BY10" s="5">
        <v>87708</v>
      </c>
      <c r="BZ10" s="5">
        <v>108111.87052500001</v>
      </c>
      <c r="CA10" s="5">
        <v>2722.8270000000002</v>
      </c>
      <c r="CB10" s="5">
        <v>13084.807000000001</v>
      </c>
      <c r="CC10" s="5">
        <v>2048.3695000000002</v>
      </c>
      <c r="CD10" s="5">
        <v>28500</v>
      </c>
      <c r="CE10" s="5">
        <v>267404.5</v>
      </c>
      <c r="CF10" s="5">
        <v>13880639</v>
      </c>
      <c r="CG10" s="5">
        <v>44.93</v>
      </c>
      <c r="CH10" s="5">
        <v>822277</v>
      </c>
      <c r="CI10" s="5">
        <v>130.5</v>
      </c>
      <c r="CJ10" s="5">
        <v>2048369.5</v>
      </c>
      <c r="CK10" s="5">
        <v>28500</v>
      </c>
      <c r="CL10" s="5">
        <v>267404.5</v>
      </c>
      <c r="CM10" s="5">
        <v>977785</v>
      </c>
      <c r="CN10" s="43">
        <v>-948982.93149999995</v>
      </c>
      <c r="CO10" s="5">
        <v>1343042.5</v>
      </c>
      <c r="CP10" s="5">
        <v>0</v>
      </c>
      <c r="CQ10" s="5">
        <v>1900</v>
      </c>
      <c r="CR10" s="5">
        <v>59.25</v>
      </c>
      <c r="CS10" s="5">
        <v>69.81</v>
      </c>
      <c r="CT10" s="5">
        <v>515.5</v>
      </c>
      <c r="CU10" s="5">
        <v>90.67</v>
      </c>
      <c r="CV10" s="5">
        <v>2858</v>
      </c>
      <c r="CW10" s="5">
        <v>26572.415000000001</v>
      </c>
      <c r="CX10" s="5">
        <v>58.695</v>
      </c>
      <c r="CY10" s="5">
        <v>59.25</v>
      </c>
      <c r="CZ10" s="5">
        <v>69.81</v>
      </c>
      <c r="DA10" s="5">
        <v>515.5</v>
      </c>
      <c r="DB10" s="5">
        <v>90.67</v>
      </c>
      <c r="DC10" s="5">
        <v>2858</v>
      </c>
      <c r="DD10" s="5">
        <v>26572.415000000001</v>
      </c>
      <c r="DE10" s="5">
        <v>99.550000000000011</v>
      </c>
      <c r="DF10" s="5">
        <v>731.89499999999998</v>
      </c>
      <c r="DG10" s="5">
        <v>66.995000000000005</v>
      </c>
      <c r="DH10" s="5">
        <v>68.680000000000007</v>
      </c>
      <c r="DI10" s="5">
        <v>101.095</v>
      </c>
      <c r="DJ10" s="5">
        <v>99.550000000000011</v>
      </c>
      <c r="DK10" s="5">
        <v>731.89499999999998</v>
      </c>
      <c r="DL10" s="5">
        <v>101.5945</v>
      </c>
      <c r="DM10" s="5">
        <v>1941.5</v>
      </c>
      <c r="DN10" s="5">
        <v>66.995000000000005</v>
      </c>
      <c r="DO10" s="5">
        <v>68.680000000000007</v>
      </c>
      <c r="DP10" s="5">
        <v>101.095</v>
      </c>
    </row>
    <row r="11" spans="1:120" x14ac:dyDescent="0.35">
      <c r="A11">
        <v>2004</v>
      </c>
      <c r="B11">
        <v>1</v>
      </c>
      <c r="C11" s="11">
        <v>473.476</v>
      </c>
      <c r="D11" s="5">
        <v>2741</v>
      </c>
      <c r="E11" s="5">
        <v>1250</v>
      </c>
      <c r="F11" s="11">
        <v>2.1928000000000001</v>
      </c>
      <c r="G11" s="5">
        <v>108.07899999999999</v>
      </c>
      <c r="H11" s="5">
        <v>1864</v>
      </c>
      <c r="I11" s="6">
        <v>47.49</v>
      </c>
      <c r="J11" s="5">
        <v>438439</v>
      </c>
      <c r="K11" s="5">
        <v>120</v>
      </c>
      <c r="L11">
        <v>2.87</v>
      </c>
      <c r="M11" s="5">
        <v>126</v>
      </c>
      <c r="N11" s="5">
        <v>22485.375240000001</v>
      </c>
      <c r="O11" s="5">
        <v>473.476</v>
      </c>
      <c r="P11" s="5">
        <v>22485.375240000001</v>
      </c>
      <c r="Q11" s="5">
        <v>129275.37523999999</v>
      </c>
      <c r="R11" s="5">
        <v>106790</v>
      </c>
      <c r="S11" s="5">
        <v>15823.305929375998</v>
      </c>
      <c r="T11" s="5">
        <v>0.12239999999999999</v>
      </c>
      <c r="U11" s="5">
        <v>129275.37523999999</v>
      </c>
      <c r="V11" s="5">
        <v>69856.301200000002</v>
      </c>
      <c r="W11" s="5">
        <v>2.8E-3</v>
      </c>
      <c r="X11" s="5">
        <v>24948679</v>
      </c>
      <c r="Y11" s="5">
        <v>991.13099999999997</v>
      </c>
      <c r="Z11" s="5">
        <v>7297</v>
      </c>
      <c r="AA11" s="5">
        <v>2074.3820000000001</v>
      </c>
      <c r="AB11" s="5">
        <v>884.07</v>
      </c>
      <c r="AC11" s="5">
        <v>1456.8130000000001</v>
      </c>
      <c r="AD11" s="5">
        <v>5.2999999999999999E-2</v>
      </c>
      <c r="AE11" s="5">
        <v>817.99919999999997</v>
      </c>
      <c r="AF11" s="5">
        <v>981219</v>
      </c>
      <c r="AG11" s="5">
        <v>25467.6993</v>
      </c>
      <c r="AH11" s="5">
        <v>24948679</v>
      </c>
      <c r="AI11" s="5">
        <v>69856.301200000002</v>
      </c>
      <c r="AJ11" s="5">
        <v>884070</v>
      </c>
      <c r="AK11" s="5">
        <v>29005.103999999999</v>
      </c>
      <c r="AL11" s="5">
        <v>6304.2999999999993</v>
      </c>
      <c r="AM11" s="5">
        <v>7297</v>
      </c>
      <c r="AN11" s="5">
        <v>234.839135</v>
      </c>
      <c r="AO11" s="5">
        <v>46.166576336217176</v>
      </c>
      <c r="AP11" s="5">
        <v>3.301897717195208</v>
      </c>
      <c r="AQ11" s="5">
        <v>28599.032999999999</v>
      </c>
      <c r="AR11" s="5">
        <v>331</v>
      </c>
      <c r="AS11" s="5">
        <v>2300</v>
      </c>
      <c r="AT11" s="5">
        <v>8867</v>
      </c>
      <c r="AU11" s="5">
        <v>20394100</v>
      </c>
      <c r="AV11" s="5">
        <v>324805.53999999911</v>
      </c>
      <c r="AW11" s="5">
        <v>25467.6993</v>
      </c>
      <c r="AX11" s="5">
        <v>29005.103999999999</v>
      </c>
      <c r="AY11" s="5">
        <v>-3537.4046999999991</v>
      </c>
      <c r="AZ11" s="5">
        <v>3252</v>
      </c>
      <c r="BA11" s="5">
        <v>6637</v>
      </c>
      <c r="BB11" s="5">
        <v>6683</v>
      </c>
      <c r="BC11" s="5">
        <v>2741</v>
      </c>
      <c r="BD11" s="52" t="s">
        <v>341</v>
      </c>
      <c r="BE11" s="5">
        <v>6637</v>
      </c>
      <c r="BF11" s="5">
        <v>817.99919999999997</v>
      </c>
      <c r="BG11" s="5">
        <v>614</v>
      </c>
      <c r="BH11" s="5">
        <v>614</v>
      </c>
      <c r="BI11" s="5">
        <v>6683</v>
      </c>
      <c r="BJ11" s="5">
        <v>3252</v>
      </c>
      <c r="BK11" s="5">
        <v>2229</v>
      </c>
      <c r="BL11" s="5">
        <v>817.99919999999997</v>
      </c>
      <c r="BM11" s="5">
        <v>1980305</v>
      </c>
      <c r="BN11" s="5">
        <v>2878</v>
      </c>
      <c r="BO11" s="5">
        <v>22485.375240000001</v>
      </c>
      <c r="BP11" s="5">
        <v>106790</v>
      </c>
      <c r="BQ11" s="5">
        <v>129275.37523999999</v>
      </c>
      <c r="BR11" s="5">
        <v>884.07</v>
      </c>
      <c r="BS11" s="5">
        <v>1980305</v>
      </c>
      <c r="BT11" s="5">
        <v>1923406</v>
      </c>
      <c r="BU11" s="5">
        <v>1.5537531415314857E-2</v>
      </c>
      <c r="BV11" s="5" t="s">
        <v>341</v>
      </c>
      <c r="BW11" s="5">
        <v>614</v>
      </c>
      <c r="BX11" s="5">
        <v>22485.375240000001</v>
      </c>
      <c r="BY11" s="5">
        <v>106790</v>
      </c>
      <c r="BZ11" s="5">
        <v>129275.37523999999</v>
      </c>
      <c r="CA11" s="5">
        <v>2856.1219999999998</v>
      </c>
      <c r="CB11" s="5">
        <v>13263.869000000001</v>
      </c>
      <c r="CC11" s="5">
        <v>2085.9160000000002</v>
      </c>
      <c r="CD11" s="5">
        <v>29000</v>
      </c>
      <c r="CE11" s="5">
        <v>267672</v>
      </c>
      <c r="CF11" s="5">
        <v>14855533</v>
      </c>
      <c r="CG11" s="5">
        <v>47.78</v>
      </c>
      <c r="CH11" s="5">
        <v>862830</v>
      </c>
      <c r="CI11" s="5">
        <v>124</v>
      </c>
      <c r="CJ11" s="5">
        <v>2085916</v>
      </c>
      <c r="CK11" s="5">
        <v>29000</v>
      </c>
      <c r="CL11" s="5">
        <v>267672</v>
      </c>
      <c r="CM11" s="5">
        <v>981219</v>
      </c>
      <c r="CN11" s="43">
        <v>-952213.89599999995</v>
      </c>
      <c r="CO11" s="5">
        <v>1379602</v>
      </c>
      <c r="CP11" s="5">
        <v>0</v>
      </c>
      <c r="CQ11" s="5">
        <v>2000</v>
      </c>
      <c r="CR11" s="5">
        <v>58.75</v>
      </c>
      <c r="CS11" s="5">
        <v>69.98</v>
      </c>
      <c r="CT11" s="5">
        <v>527</v>
      </c>
      <c r="CU11" s="5">
        <v>90.69</v>
      </c>
      <c r="CV11" s="5">
        <v>2897</v>
      </c>
      <c r="CW11" s="5">
        <v>26867.96</v>
      </c>
      <c r="CX11" s="5">
        <v>59.75</v>
      </c>
      <c r="CY11" s="5">
        <v>58.75</v>
      </c>
      <c r="CZ11" s="5">
        <v>69.98</v>
      </c>
      <c r="DA11" s="5">
        <v>527</v>
      </c>
      <c r="DB11" s="5">
        <v>90.69</v>
      </c>
      <c r="DC11" s="5">
        <v>2897</v>
      </c>
      <c r="DD11" s="5">
        <v>26867.96</v>
      </c>
      <c r="DE11" s="5">
        <v>98.56</v>
      </c>
      <c r="DF11" s="5">
        <v>756.09</v>
      </c>
      <c r="DG11" s="5">
        <v>66.87</v>
      </c>
      <c r="DH11" s="5">
        <v>68.84</v>
      </c>
      <c r="DI11" s="5">
        <v>100.54</v>
      </c>
      <c r="DJ11" s="5">
        <v>98.56</v>
      </c>
      <c r="DK11" s="5">
        <v>756.09</v>
      </c>
      <c r="DL11" s="5">
        <v>108.07899999999999</v>
      </c>
      <c r="DM11" s="5">
        <v>1864</v>
      </c>
      <c r="DN11" s="5">
        <v>66.87</v>
      </c>
      <c r="DO11" s="5">
        <v>68.84</v>
      </c>
      <c r="DP11" s="5">
        <v>100.54</v>
      </c>
    </row>
    <row r="12" spans="1:120" x14ac:dyDescent="0.35">
      <c r="B12">
        <v>2</v>
      </c>
      <c r="C12" s="11">
        <v>486.99</v>
      </c>
      <c r="D12" s="5">
        <v>2770.5</v>
      </c>
      <c r="E12" s="5">
        <v>1275</v>
      </c>
      <c r="F12" s="11">
        <v>2.1733230769230767</v>
      </c>
      <c r="G12" s="5">
        <v>112.77849999999999</v>
      </c>
      <c r="H12" s="5">
        <v>2124</v>
      </c>
      <c r="I12" s="11">
        <v>48.534999999999997</v>
      </c>
      <c r="J12" s="5">
        <v>455957.5</v>
      </c>
      <c r="K12" s="5">
        <v>123.5</v>
      </c>
      <c r="L12" s="11">
        <v>2.9050000000000002</v>
      </c>
      <c r="M12" s="5">
        <v>123</v>
      </c>
      <c r="N12" s="5">
        <v>23650.181779999999</v>
      </c>
      <c r="O12" s="5">
        <v>486.99</v>
      </c>
      <c r="P12" s="5">
        <v>23650.181779999999</v>
      </c>
      <c r="Q12" s="5">
        <v>122070.18178</v>
      </c>
      <c r="R12" s="5">
        <v>98420</v>
      </c>
      <c r="S12" s="5">
        <v>14332.605811776</v>
      </c>
      <c r="T12" s="5">
        <v>0.1171</v>
      </c>
      <c r="U12" s="5">
        <v>122070.18178</v>
      </c>
      <c r="V12" s="5">
        <v>73331.106249999997</v>
      </c>
      <c r="W12" s="5">
        <v>2.8500000000000001E-3</v>
      </c>
      <c r="X12" s="5">
        <v>25716738</v>
      </c>
      <c r="Y12" s="5">
        <v>995.12750000000005</v>
      </c>
      <c r="Z12" s="5">
        <v>7301.5</v>
      </c>
      <c r="AA12" s="5">
        <v>2229.3645000000001</v>
      </c>
      <c r="AB12" s="5">
        <v>890.80150000000003</v>
      </c>
      <c r="AC12" s="5">
        <v>1497.5790000000002</v>
      </c>
      <c r="AD12" s="5">
        <v>5.5E-2</v>
      </c>
      <c r="AE12" s="5">
        <v>787.55439999999999</v>
      </c>
      <c r="AF12" s="5">
        <v>986175</v>
      </c>
      <c r="AG12" s="5">
        <v>25648.50447</v>
      </c>
      <c r="AH12" s="5">
        <v>25716738</v>
      </c>
      <c r="AI12" s="5">
        <v>73331.106249999997</v>
      </c>
      <c r="AJ12" s="5">
        <v>890801.5</v>
      </c>
      <c r="AK12" s="5">
        <v>29151.594499999999</v>
      </c>
      <c r="AL12" s="5">
        <v>6372.15</v>
      </c>
      <c r="AM12" s="5">
        <v>7301.5</v>
      </c>
      <c r="AN12" s="5">
        <v>235.55979050000002</v>
      </c>
      <c r="AO12" s="5">
        <v>46.470611540052445</v>
      </c>
      <c r="AP12" s="5">
        <v>3.3020060470757047</v>
      </c>
      <c r="AQ12" s="5">
        <v>28802.068500000001</v>
      </c>
      <c r="AR12" s="5">
        <v>311.5</v>
      </c>
      <c r="AS12" s="5">
        <v>2400</v>
      </c>
      <c r="AT12" s="5">
        <v>8884.5</v>
      </c>
      <c r="AU12" s="5">
        <v>21324550</v>
      </c>
      <c r="AV12" s="5">
        <v>861561.8200000003</v>
      </c>
      <c r="AW12" s="5">
        <v>25648.50447</v>
      </c>
      <c r="AX12" s="5">
        <v>29151.594499999999</v>
      </c>
      <c r="AY12" s="5">
        <v>-3503.0900299999994</v>
      </c>
      <c r="AZ12" s="5">
        <v>3191</v>
      </c>
      <c r="BA12" s="5">
        <v>6660</v>
      </c>
      <c r="BB12" s="5">
        <v>6727.5</v>
      </c>
      <c r="BC12" s="5">
        <v>2770.5</v>
      </c>
      <c r="BD12" s="52" t="s">
        <v>341</v>
      </c>
      <c r="BE12" s="5">
        <v>6660</v>
      </c>
      <c r="BF12" s="5">
        <v>787.55439999999999</v>
      </c>
      <c r="BG12" s="5">
        <v>574</v>
      </c>
      <c r="BH12" s="5">
        <v>574</v>
      </c>
      <c r="BI12" s="5">
        <v>6727.5</v>
      </c>
      <c r="BJ12" s="5">
        <v>3191</v>
      </c>
      <c r="BK12" s="5">
        <v>2354.5</v>
      </c>
      <c r="BL12" s="5">
        <v>787.55439999999999</v>
      </c>
      <c r="BM12" s="5">
        <v>1991053</v>
      </c>
      <c r="BN12" s="5">
        <v>2909</v>
      </c>
      <c r="BO12" s="5">
        <v>23650.181779999999</v>
      </c>
      <c r="BP12" s="5">
        <v>98420</v>
      </c>
      <c r="BQ12" s="5">
        <v>122070.18178</v>
      </c>
      <c r="BR12" s="5">
        <v>890.80150000000003</v>
      </c>
      <c r="BS12" s="5">
        <v>1991053</v>
      </c>
      <c r="BT12" s="5">
        <v>1951855.5</v>
      </c>
      <c r="BU12" s="5">
        <v>2.8645510218264055E-2</v>
      </c>
      <c r="BV12" s="5" t="s">
        <v>341</v>
      </c>
      <c r="BW12" s="5">
        <v>574</v>
      </c>
      <c r="BX12" s="5">
        <v>23650.181779999999</v>
      </c>
      <c r="BY12" s="5">
        <v>98420</v>
      </c>
      <c r="BZ12" s="5">
        <v>122070.18178</v>
      </c>
      <c r="CA12" s="5">
        <v>2872.8609999999999</v>
      </c>
      <c r="CB12" s="5">
        <v>13426.949500000001</v>
      </c>
      <c r="CC12" s="5">
        <v>2124.8645000000001</v>
      </c>
      <c r="CD12" s="5">
        <v>30750</v>
      </c>
      <c r="CE12" s="5">
        <v>268887.5</v>
      </c>
      <c r="CF12" s="5">
        <v>13353019.5</v>
      </c>
      <c r="CG12" s="5">
        <v>49.325000000000003</v>
      </c>
      <c r="CH12" s="5">
        <v>878014.5</v>
      </c>
      <c r="CI12" s="5">
        <v>130.5</v>
      </c>
      <c r="CJ12" s="5">
        <v>2124864.5</v>
      </c>
      <c r="CK12" s="5">
        <v>30750</v>
      </c>
      <c r="CL12" s="5">
        <v>268887.5</v>
      </c>
      <c r="CM12" s="5">
        <v>986175</v>
      </c>
      <c r="CN12" s="43">
        <v>-957023.40549999999</v>
      </c>
      <c r="CO12" s="5">
        <v>1418207.5</v>
      </c>
      <c r="CP12" s="5">
        <v>0</v>
      </c>
      <c r="CQ12" s="5">
        <v>2150</v>
      </c>
      <c r="CR12" s="5">
        <v>59.489999999999995</v>
      </c>
      <c r="CS12" s="5">
        <v>69.81</v>
      </c>
      <c r="CT12" s="5">
        <v>537.5</v>
      </c>
      <c r="CU12" s="5">
        <v>90.85</v>
      </c>
      <c r="CV12" s="5">
        <v>2960.5</v>
      </c>
      <c r="CW12" s="5">
        <v>27198.305</v>
      </c>
      <c r="CX12" s="5">
        <v>59.25</v>
      </c>
      <c r="CY12" s="5">
        <v>59.489999999999995</v>
      </c>
      <c r="CZ12" s="5">
        <v>69.81</v>
      </c>
      <c r="DA12" s="5">
        <v>537.5</v>
      </c>
      <c r="DB12" s="5">
        <v>90.85</v>
      </c>
      <c r="DC12" s="5">
        <v>2960.5</v>
      </c>
      <c r="DD12" s="5">
        <v>27198.305</v>
      </c>
      <c r="DE12" s="5">
        <v>98.14</v>
      </c>
      <c r="DF12" s="5">
        <v>781.94</v>
      </c>
      <c r="DG12" s="5">
        <v>67</v>
      </c>
      <c r="DH12" s="5">
        <v>69</v>
      </c>
      <c r="DI12" s="5">
        <v>99.550000000000011</v>
      </c>
      <c r="DJ12" s="5">
        <v>98.14</v>
      </c>
      <c r="DK12" s="5">
        <v>781.94</v>
      </c>
      <c r="DL12" s="5">
        <v>112.77849999999999</v>
      </c>
      <c r="DM12" s="5">
        <v>2124</v>
      </c>
      <c r="DN12" s="5">
        <v>67</v>
      </c>
      <c r="DO12" s="5">
        <v>69</v>
      </c>
      <c r="DP12" s="5">
        <v>99.550000000000011</v>
      </c>
    </row>
    <row r="13" spans="1:120" x14ac:dyDescent="0.35">
      <c r="A13">
        <v>2005</v>
      </c>
      <c r="B13">
        <v>1</v>
      </c>
      <c r="C13" s="11">
        <v>500.50400000000002</v>
      </c>
      <c r="D13" s="5">
        <v>2800</v>
      </c>
      <c r="E13" s="5">
        <v>1300</v>
      </c>
      <c r="F13" s="11">
        <v>2.1538461538461537</v>
      </c>
      <c r="G13" s="5">
        <v>117.47799999999999</v>
      </c>
      <c r="H13" s="5">
        <v>2384</v>
      </c>
      <c r="I13" s="6">
        <v>49.58</v>
      </c>
      <c r="J13" s="5">
        <v>473476</v>
      </c>
      <c r="K13" s="5">
        <v>127</v>
      </c>
      <c r="L13">
        <v>2.94</v>
      </c>
      <c r="M13" s="5">
        <v>120</v>
      </c>
      <c r="N13" s="5">
        <v>24814.98832</v>
      </c>
      <c r="O13" s="5">
        <v>500.50400000000002</v>
      </c>
      <c r="P13" s="5">
        <v>24814.98832</v>
      </c>
      <c r="Q13" s="5">
        <v>114864.98832</v>
      </c>
      <c r="R13" s="5">
        <v>90050</v>
      </c>
      <c r="S13" s="5">
        <v>12841.905694176001</v>
      </c>
      <c r="T13" s="5">
        <v>0.1118</v>
      </c>
      <c r="U13" s="5">
        <v>114864.98832</v>
      </c>
      <c r="V13" s="5">
        <v>76805.911299999992</v>
      </c>
      <c r="W13" s="5">
        <v>2.8999999999999998E-3</v>
      </c>
      <c r="X13" s="5">
        <v>26484797</v>
      </c>
      <c r="Y13" s="5">
        <v>999.12400000000002</v>
      </c>
      <c r="Z13" s="5">
        <v>7306</v>
      </c>
      <c r="AA13" s="5">
        <v>2384.3470000000002</v>
      </c>
      <c r="AB13" s="5">
        <v>897.53300000000002</v>
      </c>
      <c r="AC13" s="5">
        <v>1538.345</v>
      </c>
      <c r="AD13" s="5">
        <v>5.7000000000000002E-2</v>
      </c>
      <c r="AE13" s="5">
        <v>757.1096</v>
      </c>
      <c r="AF13" s="5">
        <v>991131</v>
      </c>
      <c r="AG13" s="5">
        <v>25829.309639999999</v>
      </c>
      <c r="AH13" s="5">
        <v>26484797</v>
      </c>
      <c r="AI13" s="5">
        <v>76805.911299999992</v>
      </c>
      <c r="AJ13" s="5">
        <v>897533</v>
      </c>
      <c r="AK13" s="5">
        <v>29298.084999999999</v>
      </c>
      <c r="AL13" s="5">
        <v>6439.9999999999991</v>
      </c>
      <c r="AM13" s="5">
        <v>7306</v>
      </c>
      <c r="AN13" s="5">
        <v>236.28044600000001</v>
      </c>
      <c r="AO13" s="5">
        <v>46.774646743887715</v>
      </c>
      <c r="AP13" s="5">
        <v>3.3021143769562009</v>
      </c>
      <c r="AQ13" s="5">
        <v>29005.103999999999</v>
      </c>
      <c r="AR13" s="5">
        <v>292</v>
      </c>
      <c r="AS13" s="5">
        <v>2500</v>
      </c>
      <c r="AT13" s="5">
        <v>8902</v>
      </c>
      <c r="AU13" s="5">
        <v>22255000</v>
      </c>
      <c r="AV13" s="5">
        <v>1398318.1000000015</v>
      </c>
      <c r="AW13" s="5">
        <v>25829.309639999999</v>
      </c>
      <c r="AX13" s="5">
        <v>29298.084999999999</v>
      </c>
      <c r="AY13" s="5">
        <v>-3468.7753599999996</v>
      </c>
      <c r="AZ13" s="5">
        <v>3130</v>
      </c>
      <c r="BA13" s="5">
        <v>6683</v>
      </c>
      <c r="BB13" s="5">
        <v>6772</v>
      </c>
      <c r="BC13" s="5">
        <v>2800</v>
      </c>
      <c r="BD13" s="52" t="s">
        <v>342</v>
      </c>
      <c r="BE13" s="5">
        <v>6683</v>
      </c>
      <c r="BF13" s="5">
        <v>757.1096</v>
      </c>
      <c r="BG13" s="5">
        <v>534</v>
      </c>
      <c r="BH13" s="5">
        <v>534</v>
      </c>
      <c r="BI13" s="5">
        <v>6772</v>
      </c>
      <c r="BJ13" s="5">
        <v>3130</v>
      </c>
      <c r="BK13" s="5">
        <v>2480</v>
      </c>
      <c r="BL13" s="5">
        <v>757.1096</v>
      </c>
      <c r="BM13" s="5">
        <v>2001801</v>
      </c>
      <c r="BN13" s="5">
        <v>2940</v>
      </c>
      <c r="BO13" s="5">
        <v>24814.98832</v>
      </c>
      <c r="BP13" s="5">
        <v>90050</v>
      </c>
      <c r="BQ13" s="5">
        <v>114864.98832</v>
      </c>
      <c r="BR13" s="5">
        <v>897.53300000000002</v>
      </c>
      <c r="BS13" s="5">
        <v>2001801</v>
      </c>
      <c r="BT13" s="5">
        <v>1980305</v>
      </c>
      <c r="BU13" s="5">
        <v>4.1753489021213251E-2</v>
      </c>
      <c r="BV13" s="5" t="s">
        <v>342</v>
      </c>
      <c r="BW13" s="5">
        <v>534</v>
      </c>
      <c r="BX13" s="5">
        <v>24814.98832</v>
      </c>
      <c r="BY13" s="5">
        <v>90050</v>
      </c>
      <c r="BZ13" s="5">
        <v>114864.98832</v>
      </c>
      <c r="CA13" s="5">
        <v>2889.6</v>
      </c>
      <c r="CB13" s="5">
        <v>13590.03</v>
      </c>
      <c r="CC13" s="5">
        <v>2163.8130000000001</v>
      </c>
      <c r="CD13" s="5">
        <v>32500</v>
      </c>
      <c r="CE13" s="5">
        <v>270103</v>
      </c>
      <c r="CF13" s="5">
        <v>11850506</v>
      </c>
      <c r="CG13" s="5">
        <v>50.87</v>
      </c>
      <c r="CH13" s="5">
        <v>893199</v>
      </c>
      <c r="CI13" s="5">
        <v>137</v>
      </c>
      <c r="CJ13" s="5">
        <v>2163813</v>
      </c>
      <c r="CK13" s="5">
        <v>32500</v>
      </c>
      <c r="CL13" s="5">
        <v>270103</v>
      </c>
      <c r="CM13" s="5">
        <v>991131</v>
      </c>
      <c r="CN13" s="43">
        <v>-961832.91500000004</v>
      </c>
      <c r="CO13" s="5">
        <v>1456813</v>
      </c>
      <c r="CP13" s="5">
        <v>0</v>
      </c>
      <c r="CQ13" s="5">
        <v>2300</v>
      </c>
      <c r="CR13" s="5">
        <v>60.23</v>
      </c>
      <c r="CS13" s="5">
        <v>69.64</v>
      </c>
      <c r="CT13" s="5">
        <v>548</v>
      </c>
      <c r="CU13" s="5">
        <v>91.01</v>
      </c>
      <c r="CV13" s="5">
        <v>3024</v>
      </c>
      <c r="CW13" s="5">
        <v>27528.65</v>
      </c>
      <c r="CX13" s="5">
        <v>58.75</v>
      </c>
      <c r="CY13" s="5">
        <v>60.23</v>
      </c>
      <c r="CZ13" s="5">
        <v>69.64</v>
      </c>
      <c r="DA13" s="5">
        <v>548</v>
      </c>
      <c r="DB13" s="5">
        <v>91.01</v>
      </c>
      <c r="DC13" s="5">
        <v>3024</v>
      </c>
      <c r="DD13" s="5">
        <v>27528.65</v>
      </c>
      <c r="DE13" s="5">
        <v>97.72</v>
      </c>
      <c r="DF13" s="5">
        <v>807.79</v>
      </c>
      <c r="DG13" s="5">
        <v>67.13</v>
      </c>
      <c r="DH13" s="5">
        <v>69.16</v>
      </c>
      <c r="DI13" s="5">
        <v>98.56</v>
      </c>
      <c r="DJ13" s="5">
        <v>97.72</v>
      </c>
      <c r="DK13" s="5">
        <v>807.79</v>
      </c>
      <c r="DL13" s="5">
        <v>117.47799999999999</v>
      </c>
      <c r="DM13" s="5">
        <v>2384</v>
      </c>
      <c r="DN13" s="5">
        <v>67.13</v>
      </c>
      <c r="DO13" s="5">
        <v>69.16</v>
      </c>
      <c r="DP13" s="5">
        <v>98.56</v>
      </c>
    </row>
    <row r="14" spans="1:120" x14ac:dyDescent="0.35">
      <c r="B14">
        <v>2</v>
      </c>
      <c r="C14" s="11">
        <v>511.47550000000001</v>
      </c>
      <c r="D14" s="5">
        <v>2830</v>
      </c>
      <c r="E14" s="5">
        <v>1325</v>
      </c>
      <c r="F14" s="11">
        <v>2.136182336182336</v>
      </c>
      <c r="G14" s="5">
        <v>127.84399999999999</v>
      </c>
      <c r="H14" s="5">
        <v>2232</v>
      </c>
      <c r="I14" s="11">
        <v>49.265000000000001</v>
      </c>
      <c r="J14" s="5">
        <v>486990</v>
      </c>
      <c r="K14" s="5">
        <v>126.5</v>
      </c>
      <c r="L14" s="11">
        <v>3.0049999999999999</v>
      </c>
      <c r="M14" s="5">
        <v>123.5</v>
      </c>
      <c r="N14" s="5">
        <v>25194.384485000002</v>
      </c>
      <c r="O14" s="5">
        <v>511.47550000000001</v>
      </c>
      <c r="P14" s="5">
        <v>25194.384485000002</v>
      </c>
      <c r="Q14" s="5">
        <v>121972.384485</v>
      </c>
      <c r="R14" s="5">
        <v>96778</v>
      </c>
      <c r="S14" s="5">
        <v>13597.788651228</v>
      </c>
      <c r="T14" s="5">
        <v>0.11149999999999999</v>
      </c>
      <c r="U14" s="5">
        <v>121972.384485</v>
      </c>
      <c r="V14" s="5">
        <v>80531.477149999992</v>
      </c>
      <c r="W14" s="5">
        <v>2.9499999999999999E-3</v>
      </c>
      <c r="X14" s="5">
        <v>27285239</v>
      </c>
      <c r="Y14" s="5">
        <v>1001.634</v>
      </c>
      <c r="Z14" s="5">
        <v>7360.5</v>
      </c>
      <c r="AA14" s="5">
        <v>2408.6774999999998</v>
      </c>
      <c r="AB14" s="5">
        <v>911.41250000000002</v>
      </c>
      <c r="AC14" s="5">
        <v>1581.3924999999999</v>
      </c>
      <c r="AD14" s="5">
        <v>5.6500000000000002E-2</v>
      </c>
      <c r="AE14" s="5">
        <v>760.69360000000006</v>
      </c>
      <c r="AF14" s="5">
        <v>995127.5</v>
      </c>
      <c r="AG14" s="5">
        <v>25956.651460000001</v>
      </c>
      <c r="AH14" s="5">
        <v>27285239</v>
      </c>
      <c r="AI14" s="5">
        <v>80531.477149999992</v>
      </c>
      <c r="AJ14" s="5">
        <v>911412.5</v>
      </c>
      <c r="AK14" s="5">
        <v>29536.280999999999</v>
      </c>
      <c r="AL14" s="5">
        <v>6508.9999999999991</v>
      </c>
      <c r="AM14" s="5">
        <v>7360.5</v>
      </c>
      <c r="AN14" s="5">
        <v>237.00552450000001</v>
      </c>
      <c r="AO14" s="5">
        <v>47.082686464085555</v>
      </c>
      <c r="AP14" s="5">
        <v>3.3022226528203</v>
      </c>
      <c r="AQ14" s="5">
        <v>29151.594499999999</v>
      </c>
      <c r="AR14" s="5">
        <v>294.5</v>
      </c>
      <c r="AS14" s="5">
        <v>2700</v>
      </c>
      <c r="AT14" s="5">
        <v>8919</v>
      </c>
      <c r="AU14" s="5">
        <v>24084700</v>
      </c>
      <c r="AV14" s="5">
        <v>802072.87000000104</v>
      </c>
      <c r="AW14" s="5">
        <v>25956.651460000001</v>
      </c>
      <c r="AX14" s="5">
        <v>29536.280999999999</v>
      </c>
      <c r="AY14" s="5">
        <v>-3579.6295399999981</v>
      </c>
      <c r="AZ14" s="5">
        <v>3209.5</v>
      </c>
      <c r="BA14" s="5">
        <v>6727.5</v>
      </c>
      <c r="BB14" s="5">
        <v>6822.5</v>
      </c>
      <c r="BC14" s="5">
        <v>2830</v>
      </c>
      <c r="BD14" s="52" t="s">
        <v>342</v>
      </c>
      <c r="BE14" s="5">
        <v>6727.5</v>
      </c>
      <c r="BF14" s="5">
        <v>760.69360000000006</v>
      </c>
      <c r="BG14" s="5">
        <v>538</v>
      </c>
      <c r="BH14" s="5">
        <v>538</v>
      </c>
      <c r="BI14" s="5">
        <v>6822.5</v>
      </c>
      <c r="BJ14" s="5">
        <v>3209.5</v>
      </c>
      <c r="BK14" s="5">
        <v>2405.5</v>
      </c>
      <c r="BL14" s="5">
        <v>760.69360000000006</v>
      </c>
      <c r="BM14" s="5">
        <v>2091648.5</v>
      </c>
      <c r="BN14" s="5">
        <v>2971.5</v>
      </c>
      <c r="BO14" s="5">
        <v>25194.384485000002</v>
      </c>
      <c r="BP14" s="5">
        <v>96778</v>
      </c>
      <c r="BQ14" s="5">
        <v>121972.384485</v>
      </c>
      <c r="BR14" s="5">
        <v>911.41250000000002</v>
      </c>
      <c r="BS14" s="5">
        <v>2091648.5</v>
      </c>
      <c r="BT14" s="5">
        <v>1991053</v>
      </c>
      <c r="BU14" s="5">
        <v>2.34513626135032E-2</v>
      </c>
      <c r="BV14" s="5" t="s">
        <v>342</v>
      </c>
      <c r="BW14" s="5">
        <v>538</v>
      </c>
      <c r="BX14" s="5">
        <v>25194.384485000002</v>
      </c>
      <c r="BY14" s="5">
        <v>96778</v>
      </c>
      <c r="BZ14" s="5">
        <v>121972.384485</v>
      </c>
      <c r="CA14" s="5">
        <v>2916.27</v>
      </c>
      <c r="CB14" s="5">
        <v>13792.971000000001</v>
      </c>
      <c r="CC14" s="5">
        <v>2207.7195000000002</v>
      </c>
      <c r="CD14" s="5">
        <v>33000</v>
      </c>
      <c r="CE14" s="5">
        <v>272020.5</v>
      </c>
      <c r="CF14" s="5">
        <v>12167429.5</v>
      </c>
      <c r="CG14" s="5">
        <v>50.555</v>
      </c>
      <c r="CH14" s="5">
        <v>954099</v>
      </c>
      <c r="CI14" s="5">
        <v>133</v>
      </c>
      <c r="CJ14" s="5">
        <v>2207719.5</v>
      </c>
      <c r="CK14" s="5">
        <v>33000</v>
      </c>
      <c r="CL14" s="5">
        <v>272020.5</v>
      </c>
      <c r="CM14" s="5">
        <v>995127.5</v>
      </c>
      <c r="CN14" s="43">
        <v>-965591.21900000004</v>
      </c>
      <c r="CO14" s="5">
        <v>1497579</v>
      </c>
      <c r="CP14" s="5">
        <v>0</v>
      </c>
      <c r="CQ14" s="5">
        <v>2400</v>
      </c>
      <c r="CR14" s="5">
        <v>61.489999999999995</v>
      </c>
      <c r="CS14" s="5">
        <v>69.819999999999993</v>
      </c>
      <c r="CT14" s="5">
        <v>528.5</v>
      </c>
      <c r="CU14" s="5">
        <v>91.22</v>
      </c>
      <c r="CV14" s="5">
        <v>3085.5</v>
      </c>
      <c r="CW14" s="5">
        <v>28072.355000000003</v>
      </c>
      <c r="CX14" s="5">
        <v>59.489999999999995</v>
      </c>
      <c r="CY14" s="5">
        <v>61.489999999999995</v>
      </c>
      <c r="CZ14" s="5">
        <v>69.819999999999993</v>
      </c>
      <c r="DA14" s="5">
        <v>528.5</v>
      </c>
      <c r="DB14" s="5">
        <v>91.22</v>
      </c>
      <c r="DC14" s="5">
        <v>3085.5</v>
      </c>
      <c r="DD14" s="5">
        <v>28072.355000000003</v>
      </c>
      <c r="DE14" s="5">
        <v>100.35</v>
      </c>
      <c r="DF14" s="5">
        <v>783.495</v>
      </c>
      <c r="DG14" s="5">
        <v>67.004999999999995</v>
      </c>
      <c r="DH14" s="5">
        <v>69.319999999999993</v>
      </c>
      <c r="DI14" s="5">
        <v>98.14</v>
      </c>
      <c r="DJ14" s="5">
        <v>100.35</v>
      </c>
      <c r="DK14" s="5">
        <v>783.495</v>
      </c>
      <c r="DL14" s="5">
        <v>127.84399999999999</v>
      </c>
      <c r="DM14" s="5">
        <v>2232</v>
      </c>
      <c r="DN14" s="5">
        <v>67.004999999999995</v>
      </c>
      <c r="DO14" s="5">
        <v>69.319999999999993</v>
      </c>
      <c r="DP14" s="5">
        <v>98.14</v>
      </c>
    </row>
    <row r="15" spans="1:120" x14ac:dyDescent="0.35">
      <c r="A15">
        <v>2006</v>
      </c>
      <c r="B15">
        <v>1</v>
      </c>
      <c r="C15" s="11">
        <v>522.447</v>
      </c>
      <c r="D15" s="5">
        <v>2860</v>
      </c>
      <c r="E15" s="5">
        <v>1350</v>
      </c>
      <c r="F15" s="11">
        <v>2.1185185185185187</v>
      </c>
      <c r="G15" s="5">
        <v>138.21</v>
      </c>
      <c r="H15" s="5">
        <v>2080</v>
      </c>
      <c r="I15" s="6">
        <v>48.95</v>
      </c>
      <c r="J15" s="5">
        <v>500504</v>
      </c>
      <c r="K15" s="5">
        <v>126</v>
      </c>
      <c r="L15">
        <v>3.07</v>
      </c>
      <c r="M15" s="5">
        <v>127</v>
      </c>
      <c r="N15" s="5">
        <v>25573.780650000001</v>
      </c>
      <c r="O15" s="5">
        <v>522.447</v>
      </c>
      <c r="P15" s="5">
        <v>25573.780650000001</v>
      </c>
      <c r="Q15" s="5">
        <v>129079.78065</v>
      </c>
      <c r="R15" s="5">
        <v>103506</v>
      </c>
      <c r="S15" s="5">
        <v>14353.671608279999</v>
      </c>
      <c r="T15" s="5">
        <v>0.11119999999999999</v>
      </c>
      <c r="U15" s="5">
        <v>129079.78065</v>
      </c>
      <c r="V15" s="5">
        <v>84257.043000000005</v>
      </c>
      <c r="W15" s="5">
        <v>3.0000000000000001E-3</v>
      </c>
      <c r="X15" s="5">
        <v>28085681</v>
      </c>
      <c r="Y15" s="5">
        <v>1004.144</v>
      </c>
      <c r="Z15" s="5">
        <v>7415</v>
      </c>
      <c r="AA15" s="5">
        <v>2433.0079999999998</v>
      </c>
      <c r="AB15" s="5">
        <v>925.29200000000003</v>
      </c>
      <c r="AC15" s="5">
        <v>1624.44</v>
      </c>
      <c r="AD15" s="5">
        <v>5.6000000000000001E-2</v>
      </c>
      <c r="AE15" s="5">
        <v>764.27760000000001</v>
      </c>
      <c r="AF15" s="5">
        <v>999124</v>
      </c>
      <c r="AG15" s="5">
        <v>26083.993280000002</v>
      </c>
      <c r="AH15" s="5">
        <v>28085681</v>
      </c>
      <c r="AI15" s="5">
        <v>84257.043000000005</v>
      </c>
      <c r="AJ15" s="5">
        <v>925292</v>
      </c>
      <c r="AK15" s="5">
        <v>29774.476999999999</v>
      </c>
      <c r="AL15" s="5">
        <v>6577.9999999999991</v>
      </c>
      <c r="AM15" s="5">
        <v>7415</v>
      </c>
      <c r="AN15" s="5">
        <v>237.730603</v>
      </c>
      <c r="AO15" s="5">
        <v>47.390726184283402</v>
      </c>
      <c r="AP15" s="5">
        <v>3.3023309286843991</v>
      </c>
      <c r="AQ15" s="5">
        <v>29298.084999999999</v>
      </c>
      <c r="AR15" s="5">
        <v>297</v>
      </c>
      <c r="AS15" s="5">
        <v>2900</v>
      </c>
      <c r="AT15" s="5">
        <v>8936</v>
      </c>
      <c r="AU15" s="5">
        <v>25914400</v>
      </c>
      <c r="AV15" s="5">
        <v>205827.6400000006</v>
      </c>
      <c r="AW15" s="5">
        <v>26083.993280000002</v>
      </c>
      <c r="AX15" s="5">
        <v>29774.476999999999</v>
      </c>
      <c r="AY15" s="5">
        <v>-3690.4837199999965</v>
      </c>
      <c r="AZ15" s="5">
        <v>3289</v>
      </c>
      <c r="BA15" s="5">
        <v>6772</v>
      </c>
      <c r="BB15" s="5">
        <v>6873</v>
      </c>
      <c r="BC15" s="5">
        <v>2860</v>
      </c>
      <c r="BD15" s="52" t="s">
        <v>343</v>
      </c>
      <c r="BE15" s="5">
        <v>6772</v>
      </c>
      <c r="BF15" s="5">
        <v>764.27760000000001</v>
      </c>
      <c r="BG15" s="5">
        <v>542</v>
      </c>
      <c r="BH15" s="5">
        <v>542</v>
      </c>
      <c r="BI15" s="5">
        <v>6873</v>
      </c>
      <c r="BJ15" s="5">
        <v>3289</v>
      </c>
      <c r="BK15" s="5">
        <v>2331</v>
      </c>
      <c r="BL15" s="5">
        <v>764.27760000000001</v>
      </c>
      <c r="BM15" s="5">
        <v>2181496</v>
      </c>
      <c r="BN15" s="5">
        <v>3003</v>
      </c>
      <c r="BO15" s="5">
        <v>25573.780650000001</v>
      </c>
      <c r="BP15" s="5">
        <v>103506</v>
      </c>
      <c r="BQ15" s="5">
        <v>129079.78065</v>
      </c>
      <c r="BR15" s="5">
        <v>925.29200000000003</v>
      </c>
      <c r="BS15" s="5">
        <v>2181496</v>
      </c>
      <c r="BT15" s="5">
        <v>2001801</v>
      </c>
      <c r="BU15" s="5">
        <v>5.1492362057931496E-3</v>
      </c>
      <c r="BV15" s="5" t="s">
        <v>343</v>
      </c>
      <c r="BW15" s="5">
        <v>542</v>
      </c>
      <c r="BX15" s="5">
        <v>25573.780650000001</v>
      </c>
      <c r="BY15" s="5">
        <v>103506</v>
      </c>
      <c r="BZ15" s="5">
        <v>129079.78065</v>
      </c>
      <c r="CA15" s="5">
        <v>2942.94</v>
      </c>
      <c r="CB15" s="5">
        <v>13995.912</v>
      </c>
      <c r="CC15" s="5">
        <v>2251.6260000000002</v>
      </c>
      <c r="CD15" s="5">
        <v>33500</v>
      </c>
      <c r="CE15" s="5">
        <v>273938</v>
      </c>
      <c r="CF15" s="5">
        <v>12484353</v>
      </c>
      <c r="CG15" s="5">
        <v>50.24</v>
      </c>
      <c r="CH15" s="5">
        <v>1014999</v>
      </c>
      <c r="CI15" s="5">
        <v>129</v>
      </c>
      <c r="CJ15" s="5">
        <v>2251626</v>
      </c>
      <c r="CK15" s="5">
        <v>33500</v>
      </c>
      <c r="CL15" s="5">
        <v>273938</v>
      </c>
      <c r="CM15" s="5">
        <v>999124</v>
      </c>
      <c r="CN15" s="43">
        <v>-969349.52300000004</v>
      </c>
      <c r="CO15" s="5">
        <v>1538345</v>
      </c>
      <c r="CP15" s="5">
        <v>0</v>
      </c>
      <c r="CQ15" s="5">
        <v>2500</v>
      </c>
      <c r="CR15" s="5">
        <v>62.75</v>
      </c>
      <c r="CS15" s="5">
        <v>70</v>
      </c>
      <c r="CT15" s="5">
        <v>509</v>
      </c>
      <c r="CU15" s="5">
        <v>91.43</v>
      </c>
      <c r="CV15" s="5">
        <v>3147</v>
      </c>
      <c r="CW15" s="5">
        <v>28616.06</v>
      </c>
      <c r="CX15" s="5">
        <v>60.23</v>
      </c>
      <c r="CY15" s="5">
        <v>62.75</v>
      </c>
      <c r="CZ15" s="5">
        <v>70</v>
      </c>
      <c r="DA15" s="5">
        <v>509</v>
      </c>
      <c r="DB15" s="5">
        <v>91.43</v>
      </c>
      <c r="DC15" s="5">
        <v>3147</v>
      </c>
      <c r="DD15" s="5">
        <v>28616.06</v>
      </c>
      <c r="DE15" s="5">
        <v>102.98</v>
      </c>
      <c r="DF15" s="5">
        <v>759.2</v>
      </c>
      <c r="DG15" s="5">
        <v>66.88</v>
      </c>
      <c r="DH15" s="5">
        <v>69.48</v>
      </c>
      <c r="DI15" s="5">
        <v>97.72</v>
      </c>
      <c r="DJ15" s="5">
        <v>102.98</v>
      </c>
      <c r="DK15" s="5">
        <v>759.2</v>
      </c>
      <c r="DL15" s="5">
        <v>138.21</v>
      </c>
      <c r="DM15" s="5">
        <v>2080</v>
      </c>
      <c r="DN15" s="5">
        <v>66.88</v>
      </c>
      <c r="DO15" s="5">
        <v>69.48</v>
      </c>
      <c r="DP15" s="5">
        <v>97.72</v>
      </c>
    </row>
    <row r="16" spans="1:120" x14ac:dyDescent="0.35">
      <c r="B16">
        <v>2</v>
      </c>
      <c r="C16" s="11">
        <v>546.71399999999994</v>
      </c>
      <c r="D16" s="5">
        <v>2993</v>
      </c>
      <c r="E16" s="5">
        <v>1375</v>
      </c>
      <c r="F16" s="11">
        <v>2.1756878306878304</v>
      </c>
      <c r="G16" s="5">
        <v>156.5795</v>
      </c>
      <c r="H16" s="5">
        <v>1947.5</v>
      </c>
      <c r="I16" s="11">
        <v>49.234999999999999</v>
      </c>
      <c r="J16" s="5">
        <v>511475.5</v>
      </c>
      <c r="K16" s="5">
        <v>123</v>
      </c>
      <c r="L16" s="11">
        <v>3.16</v>
      </c>
      <c r="M16" s="5">
        <v>126.5</v>
      </c>
      <c r="N16" s="5">
        <v>26924.379885000002</v>
      </c>
      <c r="O16" s="5">
        <v>546.71399999999994</v>
      </c>
      <c r="P16" s="5">
        <v>26924.379885000002</v>
      </c>
      <c r="Q16" s="5">
        <v>140287.879885</v>
      </c>
      <c r="R16" s="5">
        <v>113363.5</v>
      </c>
      <c r="S16" s="5">
        <v>15751.508222331999</v>
      </c>
      <c r="T16" s="5">
        <v>0.11219999999999999</v>
      </c>
      <c r="U16" s="5">
        <v>140287.879885</v>
      </c>
      <c r="V16" s="5">
        <v>86803.518000000011</v>
      </c>
      <c r="W16" s="5">
        <v>3.0000000000000001E-3</v>
      </c>
      <c r="X16" s="5">
        <v>28934506</v>
      </c>
      <c r="Y16" s="5">
        <v>1007.6835</v>
      </c>
      <c r="Z16" s="5">
        <v>7471</v>
      </c>
      <c r="AA16" s="5">
        <v>2457.8344999999999</v>
      </c>
      <c r="AB16" s="5">
        <v>940.58600000000001</v>
      </c>
      <c r="AC16" s="5">
        <v>1669.8969999999999</v>
      </c>
      <c r="AD16" s="5">
        <v>5.5E-2</v>
      </c>
      <c r="AE16" s="5">
        <v>779.81039999999996</v>
      </c>
      <c r="AF16" s="5">
        <v>1001634</v>
      </c>
      <c r="AG16" s="5">
        <v>26668.721515000001</v>
      </c>
      <c r="AH16" s="5">
        <v>28934506</v>
      </c>
      <c r="AI16" s="5">
        <v>86803.518000000011</v>
      </c>
      <c r="AJ16" s="5">
        <v>940586</v>
      </c>
      <c r="AK16" s="5">
        <v>30016.546000000002</v>
      </c>
      <c r="AL16" s="5">
        <v>6883.9</v>
      </c>
      <c r="AM16" s="5">
        <v>7471</v>
      </c>
      <c r="AN16" s="5">
        <v>238.46013149999999</v>
      </c>
      <c r="AO16" s="5">
        <v>47.702823165233596</v>
      </c>
      <c r="AP16" s="5">
        <v>3.3024391505859425</v>
      </c>
      <c r="AQ16" s="5">
        <v>29536.280999999999</v>
      </c>
      <c r="AR16" s="5">
        <v>287.25</v>
      </c>
      <c r="AS16" s="5">
        <v>2950</v>
      </c>
      <c r="AT16" s="5">
        <v>8945.5</v>
      </c>
      <c r="AU16" s="5">
        <v>26389700</v>
      </c>
      <c r="AV16" s="5">
        <v>842022.13499999978</v>
      </c>
      <c r="AW16" s="5">
        <v>26668.721515000001</v>
      </c>
      <c r="AX16" s="5">
        <v>30016.546000000002</v>
      </c>
      <c r="AY16" s="5">
        <v>-3347.8244849999992</v>
      </c>
      <c r="AZ16" s="5">
        <v>3441.5</v>
      </c>
      <c r="BA16" s="5">
        <v>6822.5</v>
      </c>
      <c r="BB16" s="5">
        <v>6949.5</v>
      </c>
      <c r="BC16" s="5">
        <v>2993</v>
      </c>
      <c r="BD16" s="52" t="s">
        <v>343</v>
      </c>
      <c r="BE16" s="5">
        <v>6822.5</v>
      </c>
      <c r="BF16" s="5">
        <v>779.81039999999996</v>
      </c>
      <c r="BG16" s="5">
        <v>521.5</v>
      </c>
      <c r="BH16" s="5">
        <v>521.5</v>
      </c>
      <c r="BI16" s="5">
        <v>6949.5</v>
      </c>
      <c r="BJ16" s="5">
        <v>3441.5</v>
      </c>
      <c r="BK16" s="5">
        <v>2344</v>
      </c>
      <c r="BL16" s="5">
        <v>779.81039999999996</v>
      </c>
      <c r="BM16" s="5">
        <v>2223487.5</v>
      </c>
      <c r="BN16" s="5">
        <v>3142.5</v>
      </c>
      <c r="BO16" s="5">
        <v>26924.379885000002</v>
      </c>
      <c r="BP16" s="5">
        <v>113363.5</v>
      </c>
      <c r="BQ16" s="5">
        <v>140287.879885</v>
      </c>
      <c r="BR16" s="5">
        <v>940.58600000000001</v>
      </c>
      <c r="BS16" s="5">
        <v>2223487.5</v>
      </c>
      <c r="BT16" s="5">
        <v>2091648.5</v>
      </c>
      <c r="BU16" s="5">
        <v>8.2655317401803107E-3</v>
      </c>
      <c r="BV16" s="5" t="s">
        <v>343</v>
      </c>
      <c r="BW16" s="5">
        <v>521.5</v>
      </c>
      <c r="BX16" s="5">
        <v>26924.379885000002</v>
      </c>
      <c r="BY16" s="5">
        <v>113363.5</v>
      </c>
      <c r="BZ16" s="5">
        <v>140287.879885</v>
      </c>
      <c r="CA16" s="5">
        <v>3076.6710000000003</v>
      </c>
      <c r="CB16" s="5">
        <v>14167.9925</v>
      </c>
      <c r="CC16" s="5">
        <v>2302.2115000000003</v>
      </c>
      <c r="CD16" s="5">
        <v>34250</v>
      </c>
      <c r="CE16" s="5">
        <v>276306.5</v>
      </c>
      <c r="CF16" s="5">
        <v>14200917</v>
      </c>
      <c r="CG16" s="5">
        <v>54.525000000000006</v>
      </c>
      <c r="CH16" s="5">
        <v>1028546.5</v>
      </c>
      <c r="CI16" s="5">
        <v>128.5</v>
      </c>
      <c r="CJ16" s="5">
        <v>2302211.5</v>
      </c>
      <c r="CK16" s="5">
        <v>34250</v>
      </c>
      <c r="CL16" s="5">
        <v>276306.5</v>
      </c>
      <c r="CM16" s="5">
        <v>1001634</v>
      </c>
      <c r="CN16" s="43">
        <v>-971617.45400000003</v>
      </c>
      <c r="CO16" s="5">
        <v>1581392.5</v>
      </c>
      <c r="CP16" s="5">
        <v>0</v>
      </c>
      <c r="CQ16" s="5">
        <v>2700</v>
      </c>
      <c r="CR16" s="5">
        <v>62.2</v>
      </c>
      <c r="CS16" s="5">
        <v>70.115000000000009</v>
      </c>
      <c r="CT16" s="5">
        <v>502</v>
      </c>
      <c r="CU16" s="5">
        <v>91.54</v>
      </c>
      <c r="CV16" s="5">
        <v>3196</v>
      </c>
      <c r="CW16" s="5">
        <v>29119.654999999999</v>
      </c>
      <c r="CX16" s="5">
        <v>61.489999999999995</v>
      </c>
      <c r="CY16" s="5">
        <v>62.2</v>
      </c>
      <c r="CZ16" s="5">
        <v>70.115000000000009</v>
      </c>
      <c r="DA16" s="5">
        <v>502</v>
      </c>
      <c r="DB16" s="5">
        <v>91.54</v>
      </c>
      <c r="DC16" s="5">
        <v>3196</v>
      </c>
      <c r="DD16" s="5">
        <v>29119.654999999999</v>
      </c>
      <c r="DE16" s="5">
        <v>100.815</v>
      </c>
      <c r="DF16" s="5">
        <v>780.86500000000001</v>
      </c>
      <c r="DG16" s="5">
        <v>67.009999999999991</v>
      </c>
      <c r="DH16" s="5">
        <v>69.64</v>
      </c>
      <c r="DI16" s="5">
        <v>100.35</v>
      </c>
      <c r="DJ16" s="5">
        <v>100.815</v>
      </c>
      <c r="DK16" s="5">
        <v>780.86500000000001</v>
      </c>
      <c r="DL16" s="5">
        <v>156.5795</v>
      </c>
      <c r="DM16" s="5">
        <v>1947.5</v>
      </c>
      <c r="DN16" s="5">
        <v>67.009999999999991</v>
      </c>
      <c r="DO16" s="5">
        <v>69.64</v>
      </c>
      <c r="DP16" s="5">
        <v>100.35</v>
      </c>
    </row>
    <row r="17" spans="1:120" x14ac:dyDescent="0.35">
      <c r="A17">
        <v>2007</v>
      </c>
      <c r="B17">
        <v>1</v>
      </c>
      <c r="C17" s="11">
        <v>570.98099999999999</v>
      </c>
      <c r="D17" s="5">
        <v>3126</v>
      </c>
      <c r="E17" s="5">
        <v>1400</v>
      </c>
      <c r="F17" s="11">
        <v>2.2328571428571427</v>
      </c>
      <c r="G17" s="5">
        <v>174.94900000000001</v>
      </c>
      <c r="H17" s="5">
        <v>1815</v>
      </c>
      <c r="I17" s="6">
        <v>49.52</v>
      </c>
      <c r="J17" s="5">
        <v>522447</v>
      </c>
      <c r="K17" s="5">
        <v>120</v>
      </c>
      <c r="L17">
        <v>3.25</v>
      </c>
      <c r="M17" s="5">
        <v>126</v>
      </c>
      <c r="N17" s="5">
        <v>28274.97912</v>
      </c>
      <c r="O17" s="5">
        <v>570.98099999999999</v>
      </c>
      <c r="P17" s="5">
        <v>28274.97912</v>
      </c>
      <c r="Q17" s="5">
        <v>151495.97912</v>
      </c>
      <c r="R17" s="5">
        <v>123221</v>
      </c>
      <c r="S17" s="5">
        <v>17149.344836384</v>
      </c>
      <c r="T17" s="5">
        <v>0.1132</v>
      </c>
      <c r="U17" s="5">
        <v>151495.97912</v>
      </c>
      <c r="V17" s="5">
        <v>89349.993000000002</v>
      </c>
      <c r="W17" s="5">
        <v>3.0000000000000001E-3</v>
      </c>
      <c r="X17" s="5">
        <v>29783331</v>
      </c>
      <c r="Y17" s="5">
        <v>1011.223</v>
      </c>
      <c r="Z17" s="5">
        <v>7527</v>
      </c>
      <c r="AA17" s="5">
        <v>2482.6610000000001</v>
      </c>
      <c r="AB17" s="5">
        <v>955.88</v>
      </c>
      <c r="AC17" s="5">
        <v>1715.354</v>
      </c>
      <c r="AD17" s="5">
        <v>5.3999999999999999E-2</v>
      </c>
      <c r="AE17" s="5">
        <v>795.34319999999991</v>
      </c>
      <c r="AF17" s="5">
        <v>1004144</v>
      </c>
      <c r="AG17" s="5">
        <v>27253.44975</v>
      </c>
      <c r="AH17" s="5">
        <v>29783331</v>
      </c>
      <c r="AI17" s="5">
        <v>89349.993000000002</v>
      </c>
      <c r="AJ17" s="5">
        <v>955880</v>
      </c>
      <c r="AK17" s="5">
        <v>30258.615000000002</v>
      </c>
      <c r="AL17" s="5">
        <v>7189.7999999999993</v>
      </c>
      <c r="AM17" s="5">
        <v>7527</v>
      </c>
      <c r="AN17" s="5">
        <v>239.18966</v>
      </c>
      <c r="AO17" s="5">
        <v>48.01492014618379</v>
      </c>
      <c r="AP17" s="5">
        <v>3.3025473724874854</v>
      </c>
      <c r="AQ17" s="5">
        <v>29774.476999999999</v>
      </c>
      <c r="AR17" s="5">
        <v>277.5</v>
      </c>
      <c r="AS17" s="5">
        <v>3000</v>
      </c>
      <c r="AT17" s="5">
        <v>8955</v>
      </c>
      <c r="AU17" s="5">
        <v>26865000</v>
      </c>
      <c r="AV17" s="5">
        <v>1478216.629999999</v>
      </c>
      <c r="AW17" s="5">
        <v>27253.44975</v>
      </c>
      <c r="AX17" s="5">
        <v>30258.615000000002</v>
      </c>
      <c r="AY17" s="5">
        <v>-3005.1652500000018</v>
      </c>
      <c r="AZ17" s="5">
        <v>3594</v>
      </c>
      <c r="BA17" s="5">
        <v>6873</v>
      </c>
      <c r="BB17" s="5">
        <v>7026</v>
      </c>
      <c r="BC17" s="5">
        <v>3126</v>
      </c>
      <c r="BD17" s="52" t="s">
        <v>344</v>
      </c>
      <c r="BE17" s="5">
        <v>6873</v>
      </c>
      <c r="BF17" s="5">
        <v>795.34319999999991</v>
      </c>
      <c r="BG17" s="5">
        <v>501</v>
      </c>
      <c r="BH17" s="5">
        <v>501</v>
      </c>
      <c r="BI17" s="5">
        <v>7026</v>
      </c>
      <c r="BJ17" s="5">
        <v>3594</v>
      </c>
      <c r="BK17" s="5">
        <v>2357</v>
      </c>
      <c r="BL17" s="5">
        <v>795.34319999999991</v>
      </c>
      <c r="BM17" s="5">
        <v>2265479</v>
      </c>
      <c r="BN17" s="5">
        <v>3282</v>
      </c>
      <c r="BO17" s="5">
        <v>28274.97912</v>
      </c>
      <c r="BP17" s="5">
        <v>123221</v>
      </c>
      <c r="BQ17" s="5">
        <v>151495.97912</v>
      </c>
      <c r="BR17" s="5">
        <v>955.88</v>
      </c>
      <c r="BS17" s="5">
        <v>2265479</v>
      </c>
      <c r="BT17" s="5">
        <v>2181496</v>
      </c>
      <c r="BU17" s="5">
        <v>1.1381827274567472E-2</v>
      </c>
      <c r="BV17" s="5" t="s">
        <v>344</v>
      </c>
      <c r="BW17" s="5">
        <v>501</v>
      </c>
      <c r="BX17" s="5">
        <v>28274.97912</v>
      </c>
      <c r="BY17" s="5">
        <v>123221</v>
      </c>
      <c r="BZ17" s="5">
        <v>151495.97912</v>
      </c>
      <c r="CA17" s="5">
        <v>3210.402</v>
      </c>
      <c r="CB17" s="5">
        <v>14340.073</v>
      </c>
      <c r="CC17" s="5">
        <v>2352.797</v>
      </c>
      <c r="CD17" s="5">
        <v>35000</v>
      </c>
      <c r="CE17" s="5">
        <v>278675</v>
      </c>
      <c r="CF17" s="5">
        <v>15917481</v>
      </c>
      <c r="CG17" s="5">
        <v>58.81</v>
      </c>
      <c r="CH17" s="5">
        <v>1042094</v>
      </c>
      <c r="CI17" s="5">
        <v>128</v>
      </c>
      <c r="CJ17" s="5">
        <v>2352797</v>
      </c>
      <c r="CK17" s="5">
        <v>35000</v>
      </c>
      <c r="CL17" s="5">
        <v>278675</v>
      </c>
      <c r="CM17" s="5">
        <v>1004144</v>
      </c>
      <c r="CN17" s="43">
        <v>-973885.38500000001</v>
      </c>
      <c r="CO17" s="5">
        <v>1624440</v>
      </c>
      <c r="CP17" s="5">
        <v>0</v>
      </c>
      <c r="CQ17" s="5">
        <v>2900</v>
      </c>
      <c r="CR17" s="5">
        <v>61.65</v>
      </c>
      <c r="CS17" s="5">
        <v>70.23</v>
      </c>
      <c r="CT17" s="5">
        <v>495</v>
      </c>
      <c r="CU17" s="5">
        <v>91.65</v>
      </c>
      <c r="CV17" s="5">
        <v>3245</v>
      </c>
      <c r="CW17" s="5">
        <v>29623.25</v>
      </c>
      <c r="CX17" s="5">
        <v>62.75</v>
      </c>
      <c r="CY17" s="5">
        <v>61.65</v>
      </c>
      <c r="CZ17" s="5">
        <v>70.23</v>
      </c>
      <c r="DA17" s="5">
        <v>495</v>
      </c>
      <c r="DB17" s="5">
        <v>91.65</v>
      </c>
      <c r="DC17" s="5">
        <v>3245</v>
      </c>
      <c r="DD17" s="5">
        <v>29623.25</v>
      </c>
      <c r="DE17" s="5">
        <v>98.65</v>
      </c>
      <c r="DF17" s="5">
        <v>802.53</v>
      </c>
      <c r="DG17" s="5">
        <v>67.14</v>
      </c>
      <c r="DH17" s="5">
        <v>69.8</v>
      </c>
      <c r="DI17" s="5">
        <v>102.98</v>
      </c>
      <c r="DJ17" s="5">
        <v>98.65</v>
      </c>
      <c r="DK17" s="5">
        <v>802.53</v>
      </c>
      <c r="DL17" s="5">
        <v>174.94900000000001</v>
      </c>
      <c r="DM17" s="5">
        <v>1815</v>
      </c>
      <c r="DN17" s="5">
        <v>67.14</v>
      </c>
      <c r="DO17" s="5">
        <v>69.8</v>
      </c>
      <c r="DP17" s="5">
        <v>102.98</v>
      </c>
    </row>
    <row r="18" spans="1:120" x14ac:dyDescent="0.35">
      <c r="B18">
        <v>2</v>
      </c>
      <c r="C18" s="11">
        <v>593.46299999999997</v>
      </c>
      <c r="D18" s="5">
        <v>3194.5</v>
      </c>
      <c r="E18" s="5">
        <v>1425</v>
      </c>
      <c r="F18" s="11">
        <v>2.2416009852216749</v>
      </c>
      <c r="G18" s="5">
        <v>186.8775</v>
      </c>
      <c r="H18" s="5">
        <v>2134</v>
      </c>
      <c r="I18" s="11">
        <v>50.14</v>
      </c>
      <c r="J18" s="5">
        <v>546714</v>
      </c>
      <c r="K18" s="5">
        <v>123.5</v>
      </c>
      <c r="L18" s="11">
        <v>3.2850000000000001</v>
      </c>
      <c r="M18" s="5">
        <v>123</v>
      </c>
      <c r="N18" s="5">
        <v>29770.17366</v>
      </c>
      <c r="O18" s="5">
        <v>593.46299999999997</v>
      </c>
      <c r="P18" s="5">
        <v>29770.17366</v>
      </c>
      <c r="Q18" s="5">
        <v>162197.17366</v>
      </c>
      <c r="R18" s="5">
        <v>132427</v>
      </c>
      <c r="S18" s="5">
        <v>18265.625955802003</v>
      </c>
      <c r="T18" s="5">
        <v>0.11265</v>
      </c>
      <c r="U18" s="5">
        <v>162197.17366</v>
      </c>
      <c r="V18" s="5">
        <v>91800.520499999999</v>
      </c>
      <c r="W18" s="5">
        <v>3.0000000000000001E-3</v>
      </c>
      <c r="X18" s="5">
        <v>30600173.5</v>
      </c>
      <c r="Y18" s="5">
        <v>1011.729</v>
      </c>
      <c r="Z18" s="5">
        <v>7533.5</v>
      </c>
      <c r="AA18" s="5">
        <v>2651.9335000000001</v>
      </c>
      <c r="AB18" s="5">
        <v>968.63850000000002</v>
      </c>
      <c r="AC18" s="5">
        <v>1763.355</v>
      </c>
      <c r="AD18" s="5">
        <v>5.6499999999999995E-2</v>
      </c>
      <c r="AE18" s="5">
        <v>807.8454999999999</v>
      </c>
      <c r="AF18" s="5">
        <v>1007683.5</v>
      </c>
      <c r="AG18" s="5">
        <v>28311.902755000003</v>
      </c>
      <c r="AH18" s="5">
        <v>30600173.5</v>
      </c>
      <c r="AI18" s="5">
        <v>91800.520499999999</v>
      </c>
      <c r="AJ18" s="5">
        <v>968638.5</v>
      </c>
      <c r="AK18" s="5">
        <v>30442.371500000001</v>
      </c>
      <c r="AL18" s="5">
        <v>7347.3499999999995</v>
      </c>
      <c r="AM18" s="5">
        <v>7533.5</v>
      </c>
      <c r="AN18" s="5">
        <v>239.923666</v>
      </c>
      <c r="AO18" s="5">
        <v>48.331127826984392</v>
      </c>
      <c r="AP18" s="5">
        <v>3.3026555404802336</v>
      </c>
      <c r="AQ18" s="5">
        <v>30016.546000000002</v>
      </c>
      <c r="AR18" s="5">
        <v>208.25</v>
      </c>
      <c r="AS18" s="5">
        <v>3250</v>
      </c>
      <c r="AT18" s="5">
        <v>8968</v>
      </c>
      <c r="AU18" s="5">
        <v>29149250</v>
      </c>
      <c r="AV18" s="5">
        <v>1986548.5149999987</v>
      </c>
      <c r="AW18" s="5">
        <v>28311.902755000003</v>
      </c>
      <c r="AX18" s="5">
        <v>30442.371500000001</v>
      </c>
      <c r="AY18" s="5">
        <v>-2130.4687450000001</v>
      </c>
      <c r="AZ18" s="5">
        <v>3673</v>
      </c>
      <c r="BA18" s="5">
        <v>6949.5</v>
      </c>
      <c r="BB18" s="5">
        <v>7172</v>
      </c>
      <c r="BC18" s="5">
        <v>3194.5</v>
      </c>
      <c r="BD18" s="52" t="s">
        <v>344</v>
      </c>
      <c r="BE18" s="5">
        <v>6949.5</v>
      </c>
      <c r="BF18" s="5">
        <v>807.8454999999999</v>
      </c>
      <c r="BG18" s="5">
        <v>361.5</v>
      </c>
      <c r="BH18" s="5">
        <v>361.5</v>
      </c>
      <c r="BI18" s="5">
        <v>7172</v>
      </c>
      <c r="BJ18" s="5">
        <v>3673</v>
      </c>
      <c r="BK18" s="5">
        <v>2515</v>
      </c>
      <c r="BL18" s="5">
        <v>807.8454999999999</v>
      </c>
      <c r="BM18" s="5">
        <v>2319315.5</v>
      </c>
      <c r="BN18" s="5">
        <v>3354</v>
      </c>
      <c r="BO18" s="5">
        <v>29770.17366</v>
      </c>
      <c r="BP18" s="5">
        <v>132427</v>
      </c>
      <c r="BQ18" s="5">
        <v>162197.17366</v>
      </c>
      <c r="BR18" s="5">
        <v>968.63850000000002</v>
      </c>
      <c r="BS18" s="5">
        <v>2319315.5</v>
      </c>
      <c r="BT18" s="5">
        <v>2223487.5</v>
      </c>
      <c r="BU18" s="5">
        <v>1.0248216768059325E-2</v>
      </c>
      <c r="BV18" s="5" t="s">
        <v>344</v>
      </c>
      <c r="BW18" s="5">
        <v>361.5</v>
      </c>
      <c r="BX18" s="5">
        <v>29770.17366</v>
      </c>
      <c r="BY18" s="5">
        <v>132427</v>
      </c>
      <c r="BZ18" s="5">
        <v>162197.17366</v>
      </c>
      <c r="CA18" s="5">
        <v>3266.0680000000002</v>
      </c>
      <c r="CB18" s="5">
        <v>14486.4005</v>
      </c>
      <c r="CC18" s="5">
        <v>2396.7285000000002</v>
      </c>
      <c r="CD18" s="5">
        <v>37000</v>
      </c>
      <c r="CE18" s="5">
        <v>279657.5</v>
      </c>
      <c r="CF18" s="5">
        <v>15428748</v>
      </c>
      <c r="CG18" s="5">
        <v>54.93</v>
      </c>
      <c r="CH18" s="5">
        <v>1077721</v>
      </c>
      <c r="CI18" s="5">
        <v>129</v>
      </c>
      <c r="CJ18" s="5">
        <v>2396728.5</v>
      </c>
      <c r="CK18" s="5">
        <v>37000</v>
      </c>
      <c r="CL18" s="5">
        <v>279657.5</v>
      </c>
      <c r="CM18" s="5">
        <v>1007683.5</v>
      </c>
      <c r="CN18" s="43">
        <v>-977241.12849999999</v>
      </c>
      <c r="CO18" s="5">
        <v>1669897</v>
      </c>
      <c r="CP18" s="5">
        <v>0</v>
      </c>
      <c r="CQ18" s="5">
        <v>2950</v>
      </c>
      <c r="CR18" s="5">
        <v>61.314999999999998</v>
      </c>
      <c r="CS18" s="5">
        <v>70.385000000000005</v>
      </c>
      <c r="CT18" s="5">
        <v>497.5</v>
      </c>
      <c r="CU18" s="5">
        <v>91.797499999999999</v>
      </c>
      <c r="CV18" s="5">
        <v>3295</v>
      </c>
      <c r="CW18" s="5">
        <v>30176.379999999997</v>
      </c>
      <c r="CX18" s="5">
        <v>62.2</v>
      </c>
      <c r="CY18" s="5">
        <v>61.314999999999998</v>
      </c>
      <c r="CZ18" s="5">
        <v>70.385000000000005</v>
      </c>
      <c r="DA18" s="5">
        <v>497.5</v>
      </c>
      <c r="DB18" s="5">
        <v>91.797499999999999</v>
      </c>
      <c r="DC18" s="5">
        <v>3295</v>
      </c>
      <c r="DD18" s="5">
        <v>30176.379999999997</v>
      </c>
      <c r="DE18" s="5">
        <v>100.88500000000001</v>
      </c>
      <c r="DF18" s="5">
        <v>785.62</v>
      </c>
      <c r="DG18" s="5">
        <v>67.015000000000001</v>
      </c>
      <c r="DH18" s="5">
        <v>69.959999999999951</v>
      </c>
      <c r="DI18" s="5">
        <v>100.815</v>
      </c>
      <c r="DJ18" s="5">
        <v>100.88500000000001</v>
      </c>
      <c r="DK18" s="5">
        <v>785.62</v>
      </c>
      <c r="DL18" s="5">
        <v>186.8775</v>
      </c>
      <c r="DM18" s="5">
        <v>2134</v>
      </c>
      <c r="DN18" s="5">
        <v>67.015000000000001</v>
      </c>
      <c r="DO18" s="5">
        <v>69.959999999999951</v>
      </c>
      <c r="DP18" s="5">
        <v>100.815</v>
      </c>
    </row>
    <row r="19" spans="1:120" x14ac:dyDescent="0.35">
      <c r="A19">
        <v>2008</v>
      </c>
      <c r="B19">
        <v>1</v>
      </c>
      <c r="C19" s="11">
        <v>615.94500000000005</v>
      </c>
      <c r="D19" s="5">
        <v>3263</v>
      </c>
      <c r="E19" s="5">
        <v>1450</v>
      </c>
      <c r="F19" s="11">
        <v>2.2503448275862068</v>
      </c>
      <c r="G19" s="5">
        <v>198.80600000000001</v>
      </c>
      <c r="H19" s="5">
        <v>2453</v>
      </c>
      <c r="I19" s="6">
        <v>50.76</v>
      </c>
      <c r="J19" s="5">
        <v>570981</v>
      </c>
      <c r="K19" s="5">
        <v>127</v>
      </c>
      <c r="L19">
        <v>3.32</v>
      </c>
      <c r="M19" s="5">
        <v>120</v>
      </c>
      <c r="N19" s="5">
        <v>31265.368200000001</v>
      </c>
      <c r="O19" s="5">
        <v>615.94500000000005</v>
      </c>
      <c r="P19" s="5">
        <v>31265.368200000001</v>
      </c>
      <c r="Q19" s="5">
        <v>172898.3682</v>
      </c>
      <c r="R19" s="5">
        <v>141633</v>
      </c>
      <c r="S19" s="5">
        <v>19381.907075220002</v>
      </c>
      <c r="T19" s="5">
        <v>0.11210000000000001</v>
      </c>
      <c r="U19" s="5">
        <v>172898.3682</v>
      </c>
      <c r="V19" s="5">
        <v>94251.047999999995</v>
      </c>
      <c r="W19" s="5">
        <v>3.0000000000000001E-3</v>
      </c>
      <c r="X19" s="5">
        <v>31417016</v>
      </c>
      <c r="Y19" s="5">
        <v>1012.235</v>
      </c>
      <c r="Z19" s="5">
        <v>7540</v>
      </c>
      <c r="AA19" s="5">
        <v>2821.2060000000001</v>
      </c>
      <c r="AB19" s="5">
        <v>981.39700000000005</v>
      </c>
      <c r="AC19" s="5">
        <v>1811.356</v>
      </c>
      <c r="AD19" s="5">
        <v>5.8999999999999997E-2</v>
      </c>
      <c r="AE19" s="5">
        <v>820.34780000000001</v>
      </c>
      <c r="AF19" s="5">
        <v>1011223</v>
      </c>
      <c r="AG19" s="5">
        <v>29370.355760000002</v>
      </c>
      <c r="AH19" s="5">
        <v>31417016</v>
      </c>
      <c r="AI19" s="5">
        <v>94251.047999999995</v>
      </c>
      <c r="AJ19" s="5">
        <v>981397</v>
      </c>
      <c r="AK19" s="5">
        <v>30626.128000000001</v>
      </c>
      <c r="AL19" s="5">
        <v>7504.9</v>
      </c>
      <c r="AM19" s="5">
        <v>7540</v>
      </c>
      <c r="AN19" s="5">
        <v>240.65767199999999</v>
      </c>
      <c r="AO19" s="5">
        <v>48.647335507784994</v>
      </c>
      <c r="AP19" s="5">
        <v>3.3027637084729817</v>
      </c>
      <c r="AQ19" s="5">
        <v>30258.615000000002</v>
      </c>
      <c r="AR19" s="5">
        <v>139</v>
      </c>
      <c r="AS19" s="5">
        <v>3500</v>
      </c>
      <c r="AT19" s="5">
        <v>8981</v>
      </c>
      <c r="AU19" s="5">
        <v>31433500</v>
      </c>
      <c r="AV19" s="5">
        <v>2494880.3999999985</v>
      </c>
      <c r="AW19" s="5">
        <v>29370.355760000002</v>
      </c>
      <c r="AX19" s="5">
        <v>30626.128000000001</v>
      </c>
      <c r="AY19" s="5">
        <v>-1255.7722399999984</v>
      </c>
      <c r="AZ19" s="5">
        <v>3752</v>
      </c>
      <c r="BA19" s="5">
        <v>7026</v>
      </c>
      <c r="BB19" s="5">
        <v>7318</v>
      </c>
      <c r="BC19" s="5">
        <v>3263</v>
      </c>
      <c r="BD19" s="52" t="s">
        <v>345</v>
      </c>
      <c r="BE19" s="5">
        <v>7026</v>
      </c>
      <c r="BF19" s="5">
        <v>820.34780000000001</v>
      </c>
      <c r="BG19" s="5">
        <v>222</v>
      </c>
      <c r="BH19" s="5">
        <v>222</v>
      </c>
      <c r="BI19" s="5">
        <v>7318</v>
      </c>
      <c r="BJ19" s="5">
        <v>3752</v>
      </c>
      <c r="BK19" s="5">
        <v>2673</v>
      </c>
      <c r="BL19" s="5">
        <v>820.34780000000001</v>
      </c>
      <c r="BM19" s="5">
        <v>2373152</v>
      </c>
      <c r="BN19" s="5">
        <v>3426</v>
      </c>
      <c r="BO19" s="5">
        <v>31265.368200000001</v>
      </c>
      <c r="BP19" s="5">
        <v>141633</v>
      </c>
      <c r="BQ19" s="5">
        <v>172898.3682</v>
      </c>
      <c r="BR19" s="5">
        <v>981.39700000000005</v>
      </c>
      <c r="BS19" s="5">
        <v>2373152</v>
      </c>
      <c r="BT19" s="5">
        <v>2265479</v>
      </c>
      <c r="BU19" s="5">
        <v>9.1146062615511791E-3</v>
      </c>
      <c r="BV19" s="5" t="s">
        <v>345</v>
      </c>
      <c r="BW19" s="5">
        <v>222</v>
      </c>
      <c r="BX19" s="5">
        <v>31265.368200000001</v>
      </c>
      <c r="BY19" s="5">
        <v>141633</v>
      </c>
      <c r="BZ19" s="5">
        <v>172898.3682</v>
      </c>
      <c r="CA19" s="5">
        <v>3321.7339999999999</v>
      </c>
      <c r="CB19" s="5">
        <v>14632.727999999999</v>
      </c>
      <c r="CC19" s="5">
        <v>2440.66</v>
      </c>
      <c r="CD19" s="5">
        <v>39000</v>
      </c>
      <c r="CE19" s="5">
        <v>280640</v>
      </c>
      <c r="CF19" s="5">
        <v>14940015</v>
      </c>
      <c r="CG19" s="5">
        <v>51.05</v>
      </c>
      <c r="CH19" s="5">
        <v>1113348</v>
      </c>
      <c r="CI19" s="5">
        <v>130</v>
      </c>
      <c r="CJ19" s="5">
        <v>2440660</v>
      </c>
      <c r="CK19" s="5">
        <v>39000</v>
      </c>
      <c r="CL19" s="5">
        <v>280640</v>
      </c>
      <c r="CM19" s="5">
        <v>1011223</v>
      </c>
      <c r="CN19" s="43">
        <v>-980596.87199999997</v>
      </c>
      <c r="CO19" s="5">
        <v>1715354</v>
      </c>
      <c r="CP19" s="5">
        <v>0</v>
      </c>
      <c r="CQ19" s="5">
        <v>3000</v>
      </c>
      <c r="CR19" s="5">
        <v>60.98</v>
      </c>
      <c r="CS19" s="5">
        <v>70.540000000000006</v>
      </c>
      <c r="CT19" s="5">
        <v>500</v>
      </c>
      <c r="CU19" s="5">
        <v>91.944999999999993</v>
      </c>
      <c r="CV19" s="5">
        <v>3345</v>
      </c>
      <c r="CW19" s="5">
        <v>30729.51</v>
      </c>
      <c r="CX19" s="5">
        <v>61.65</v>
      </c>
      <c r="CY19" s="5">
        <v>60.98</v>
      </c>
      <c r="CZ19" s="5">
        <v>70.540000000000006</v>
      </c>
      <c r="DA19" s="5">
        <v>500</v>
      </c>
      <c r="DB19" s="5">
        <v>91.944999999999993</v>
      </c>
      <c r="DC19" s="5">
        <v>3345</v>
      </c>
      <c r="DD19" s="5">
        <v>30729.51</v>
      </c>
      <c r="DE19" s="5">
        <v>103.12</v>
      </c>
      <c r="DF19" s="5">
        <v>768.71</v>
      </c>
      <c r="DG19" s="5">
        <v>66.89</v>
      </c>
      <c r="DH19" s="5">
        <v>70.119999999999905</v>
      </c>
      <c r="DI19" s="5">
        <v>98.65</v>
      </c>
      <c r="DJ19" s="5">
        <v>103.12</v>
      </c>
      <c r="DK19" s="5">
        <v>768.71</v>
      </c>
      <c r="DL19" s="5">
        <v>198.80600000000001</v>
      </c>
      <c r="DM19" s="5">
        <v>2453</v>
      </c>
      <c r="DN19" s="5">
        <v>66.89</v>
      </c>
      <c r="DO19" s="5">
        <v>70.119999999999905</v>
      </c>
      <c r="DP19" s="5">
        <v>98.65</v>
      </c>
    </row>
    <row r="20" spans="1:120" x14ac:dyDescent="0.35">
      <c r="B20">
        <v>2</v>
      </c>
      <c r="C20" s="11">
        <v>638.06100000000004</v>
      </c>
      <c r="D20" s="5">
        <v>3380.5</v>
      </c>
      <c r="E20" s="5">
        <v>1475</v>
      </c>
      <c r="F20" s="11">
        <v>2.2911724137931033</v>
      </c>
      <c r="G20" s="5">
        <v>206.28800000000001</v>
      </c>
      <c r="H20" s="5">
        <v>2383.5</v>
      </c>
      <c r="I20" s="11">
        <v>51.47</v>
      </c>
      <c r="J20" s="5">
        <v>593463</v>
      </c>
      <c r="K20" s="5">
        <v>129.5</v>
      </c>
      <c r="L20" s="11">
        <v>3.57</v>
      </c>
      <c r="M20" s="5">
        <v>123.5</v>
      </c>
      <c r="N20" s="5">
        <v>32856.70203</v>
      </c>
      <c r="O20" s="5">
        <v>638.06100000000004</v>
      </c>
      <c r="P20" s="5">
        <v>32856.70203</v>
      </c>
      <c r="Q20" s="5">
        <v>176680.20202999999</v>
      </c>
      <c r="R20" s="5">
        <v>143823.5</v>
      </c>
      <c r="S20" s="5">
        <v>19841.943054735002</v>
      </c>
      <c r="T20" s="5">
        <v>0.11230000000000001</v>
      </c>
      <c r="U20" s="5">
        <v>176680.20202999999</v>
      </c>
      <c r="V20" s="5">
        <v>98547.249849999993</v>
      </c>
      <c r="W20" s="5">
        <v>3.0499999999999998E-3</v>
      </c>
      <c r="X20" s="5">
        <v>32296161.5</v>
      </c>
      <c r="Y20" s="5">
        <v>1013.2495</v>
      </c>
      <c r="Z20" s="5">
        <v>7597.5</v>
      </c>
      <c r="AA20" s="5">
        <v>2943.8670000000002</v>
      </c>
      <c r="AB20" s="5">
        <v>1006.1379999999999</v>
      </c>
      <c r="AC20" s="5">
        <v>1862.0435</v>
      </c>
      <c r="AD20" s="5">
        <v>5.7999999999999996E-2</v>
      </c>
      <c r="AE20" s="5">
        <v>823.66765000000009</v>
      </c>
      <c r="AF20" s="5">
        <v>1011729</v>
      </c>
      <c r="AG20" s="5">
        <v>29638.867265000001</v>
      </c>
      <c r="AH20" s="5">
        <v>32296161.5</v>
      </c>
      <c r="AI20" s="5">
        <v>98547.249849999993</v>
      </c>
      <c r="AJ20" s="5">
        <v>1006138</v>
      </c>
      <c r="AK20" s="5">
        <v>30890.952000000001</v>
      </c>
      <c r="AL20" s="5">
        <v>7775.15</v>
      </c>
      <c r="AM20" s="5">
        <v>7597.5</v>
      </c>
      <c r="AN20" s="5">
        <v>241.39618250000001</v>
      </c>
      <c r="AO20" s="5">
        <v>48.96770803139249</v>
      </c>
      <c r="AP20" s="5">
        <v>3.3028718226106157</v>
      </c>
      <c r="AQ20" s="5">
        <v>30442.371500000001</v>
      </c>
      <c r="AR20" s="5">
        <v>160</v>
      </c>
      <c r="AS20" s="5">
        <v>3650</v>
      </c>
      <c r="AT20" s="5">
        <v>8995.5</v>
      </c>
      <c r="AU20" s="5">
        <v>32835750</v>
      </c>
      <c r="AV20" s="5">
        <v>1559300.25</v>
      </c>
      <c r="AW20" s="5">
        <v>29638.867265000001</v>
      </c>
      <c r="AX20" s="5">
        <v>30890.952000000001</v>
      </c>
      <c r="AY20" s="5">
        <v>-1252.0847350000004</v>
      </c>
      <c r="AZ20" s="5">
        <v>3887</v>
      </c>
      <c r="BA20" s="5">
        <v>7172</v>
      </c>
      <c r="BB20" s="5">
        <v>7334.5</v>
      </c>
      <c r="BC20" s="5">
        <v>3380.5</v>
      </c>
      <c r="BD20" s="52" t="s">
        <v>345</v>
      </c>
      <c r="BE20" s="5">
        <v>7172</v>
      </c>
      <c r="BF20" s="5">
        <v>823.66765000000009</v>
      </c>
      <c r="BG20" s="5">
        <v>263</v>
      </c>
      <c r="BH20" s="5">
        <v>263</v>
      </c>
      <c r="BI20" s="5">
        <v>7334.5</v>
      </c>
      <c r="BJ20" s="5">
        <v>3887</v>
      </c>
      <c r="BK20" s="5">
        <v>2773</v>
      </c>
      <c r="BL20" s="5">
        <v>823.66765000000009</v>
      </c>
      <c r="BM20" s="5">
        <v>2527491.5</v>
      </c>
      <c r="BN20" s="5">
        <v>3549</v>
      </c>
      <c r="BO20" s="5">
        <v>32856.70203</v>
      </c>
      <c r="BP20" s="5">
        <v>143823.5</v>
      </c>
      <c r="BQ20" s="5">
        <v>176680.20202999999</v>
      </c>
      <c r="BR20" s="5">
        <v>1006.1379999999999</v>
      </c>
      <c r="BS20" s="5">
        <v>2527491.5</v>
      </c>
      <c r="BT20" s="5">
        <v>2319315.5</v>
      </c>
      <c r="BU20" s="5">
        <v>6.2271267987283815E-3</v>
      </c>
      <c r="BV20" s="5" t="s">
        <v>345</v>
      </c>
      <c r="BW20" s="5">
        <v>263</v>
      </c>
      <c r="BX20" s="5">
        <v>32856.70203</v>
      </c>
      <c r="BY20" s="5">
        <v>143823.5</v>
      </c>
      <c r="BZ20" s="5">
        <v>176680.20202999999</v>
      </c>
      <c r="CA20" s="5">
        <v>3460.5879999999997</v>
      </c>
      <c r="CB20" s="5">
        <v>14851.2395</v>
      </c>
      <c r="CC20" s="5">
        <v>2490.1844999999998</v>
      </c>
      <c r="CD20" s="5">
        <v>39500</v>
      </c>
      <c r="CE20" s="5">
        <v>282057.5</v>
      </c>
      <c r="CF20" s="5">
        <v>15245999</v>
      </c>
      <c r="CG20" s="5">
        <v>51.76</v>
      </c>
      <c r="CH20" s="5">
        <v>1130564.5</v>
      </c>
      <c r="CI20" s="5">
        <v>134</v>
      </c>
      <c r="CJ20" s="5">
        <v>2490184.5</v>
      </c>
      <c r="CK20" s="5">
        <v>39500</v>
      </c>
      <c r="CL20" s="5">
        <v>282057.5</v>
      </c>
      <c r="CM20" s="5">
        <v>1011729</v>
      </c>
      <c r="CN20" s="43">
        <v>-980838.04799999995</v>
      </c>
      <c r="CO20" s="5">
        <v>1763355</v>
      </c>
      <c r="CP20" s="5">
        <v>0</v>
      </c>
      <c r="CQ20" s="5">
        <v>3250</v>
      </c>
      <c r="CR20" s="5">
        <v>61.914999999999999</v>
      </c>
      <c r="CS20" s="5">
        <v>70.66</v>
      </c>
      <c r="CT20" s="5">
        <v>478.5</v>
      </c>
      <c r="CU20" s="5">
        <v>91.907499999999999</v>
      </c>
      <c r="CV20" s="5">
        <v>3396.5</v>
      </c>
      <c r="CW20" s="5">
        <v>31253.85</v>
      </c>
      <c r="CX20" s="5">
        <v>61.314999999999998</v>
      </c>
      <c r="CY20" s="5">
        <v>61.914999999999999</v>
      </c>
      <c r="CZ20" s="5">
        <v>70.66</v>
      </c>
      <c r="DA20" s="5">
        <v>478.5</v>
      </c>
      <c r="DB20" s="5">
        <v>91.907499999999999</v>
      </c>
      <c r="DC20" s="5">
        <v>3396.5</v>
      </c>
      <c r="DD20" s="5">
        <v>31253.85</v>
      </c>
      <c r="DE20" s="5">
        <v>101.587</v>
      </c>
      <c r="DF20" s="5">
        <v>745.59</v>
      </c>
      <c r="DG20" s="5">
        <v>67.02000000000001</v>
      </c>
      <c r="DH20" s="5">
        <v>70.279999999999902</v>
      </c>
      <c r="DI20" s="5">
        <v>100.88500000000001</v>
      </c>
      <c r="DJ20" s="5">
        <v>101.587</v>
      </c>
      <c r="DK20" s="5">
        <v>745.59</v>
      </c>
      <c r="DL20" s="5">
        <v>206.28800000000001</v>
      </c>
      <c r="DM20" s="5">
        <v>2383.5</v>
      </c>
      <c r="DN20" s="5">
        <v>67.02000000000001</v>
      </c>
      <c r="DO20" s="5">
        <v>70.279999999999902</v>
      </c>
      <c r="DP20" s="5">
        <v>100.88500000000001</v>
      </c>
    </row>
    <row r="21" spans="1:120" x14ac:dyDescent="0.35">
      <c r="A21">
        <v>2009</v>
      </c>
      <c r="B21">
        <v>1</v>
      </c>
      <c r="C21" s="11">
        <v>660.17700000000002</v>
      </c>
      <c r="D21" s="5">
        <v>3498</v>
      </c>
      <c r="E21" s="5">
        <v>1500</v>
      </c>
      <c r="F21" s="11">
        <v>2.3319999999999999</v>
      </c>
      <c r="G21" s="5">
        <v>213.77</v>
      </c>
      <c r="H21" s="5">
        <v>2314</v>
      </c>
      <c r="I21" s="6">
        <v>52.18</v>
      </c>
      <c r="J21" s="5">
        <v>615945</v>
      </c>
      <c r="K21" s="5">
        <v>132</v>
      </c>
      <c r="L21">
        <v>3.82</v>
      </c>
      <c r="M21" s="5">
        <v>127</v>
      </c>
      <c r="N21" s="5">
        <v>34448.035860000004</v>
      </c>
      <c r="O21" s="5">
        <v>660.17700000000002</v>
      </c>
      <c r="P21" s="5">
        <v>34448.035860000004</v>
      </c>
      <c r="Q21" s="5">
        <v>180462.03586</v>
      </c>
      <c r="R21" s="5">
        <v>146014</v>
      </c>
      <c r="S21" s="5">
        <v>20301.979034250002</v>
      </c>
      <c r="T21" s="5">
        <v>0.1125</v>
      </c>
      <c r="U21" s="5">
        <v>180462.03586</v>
      </c>
      <c r="V21" s="5">
        <v>102843.45169999999</v>
      </c>
      <c r="W21" s="5">
        <v>3.0999999999999999E-3</v>
      </c>
      <c r="X21" s="5">
        <v>33175307</v>
      </c>
      <c r="Y21" s="5">
        <v>1014.264</v>
      </c>
      <c r="Z21" s="5">
        <v>7655</v>
      </c>
      <c r="AA21" s="5">
        <v>3066.5279999999998</v>
      </c>
      <c r="AB21" s="5">
        <v>1030.8789999999999</v>
      </c>
      <c r="AC21" s="5">
        <v>1912.731</v>
      </c>
      <c r="AD21" s="5">
        <v>5.7000000000000002E-2</v>
      </c>
      <c r="AE21" s="5">
        <v>826.98750000000007</v>
      </c>
      <c r="AF21" s="5">
        <v>1012235</v>
      </c>
      <c r="AG21" s="5">
        <v>29907.378769999999</v>
      </c>
      <c r="AH21" s="5">
        <v>33175307</v>
      </c>
      <c r="AI21" s="5">
        <v>102843.45169999999</v>
      </c>
      <c r="AJ21" s="5">
        <v>1030879</v>
      </c>
      <c r="AK21" s="5">
        <v>31155.776000000002</v>
      </c>
      <c r="AL21" s="5">
        <v>8045.4</v>
      </c>
      <c r="AM21" s="5">
        <v>7655</v>
      </c>
      <c r="AN21" s="5">
        <v>242.134693</v>
      </c>
      <c r="AO21" s="5">
        <v>49.288080554999993</v>
      </c>
      <c r="AP21" s="5">
        <v>3.3029799367482493</v>
      </c>
      <c r="AQ21" s="5">
        <v>30626.128000000001</v>
      </c>
      <c r="AR21" s="5">
        <v>181</v>
      </c>
      <c r="AS21" s="5">
        <v>3800</v>
      </c>
      <c r="AT21" s="5">
        <v>9010</v>
      </c>
      <c r="AU21" s="5">
        <v>34238000</v>
      </c>
      <c r="AV21" s="5">
        <v>623720.10000000149</v>
      </c>
      <c r="AW21" s="5">
        <v>29907.378769999999</v>
      </c>
      <c r="AX21" s="5">
        <v>31155.776000000002</v>
      </c>
      <c r="AY21" s="5">
        <v>-1248.3972300000023</v>
      </c>
      <c r="AZ21" s="5">
        <v>4022</v>
      </c>
      <c r="BA21" s="5">
        <v>7318</v>
      </c>
      <c r="BB21" s="5">
        <v>7351</v>
      </c>
      <c r="BC21" s="5">
        <v>3498</v>
      </c>
      <c r="BD21" s="52" t="s">
        <v>346</v>
      </c>
      <c r="BE21" s="5">
        <v>7318</v>
      </c>
      <c r="BF21" s="5">
        <v>826.98750000000007</v>
      </c>
      <c r="BG21" s="5">
        <v>304</v>
      </c>
      <c r="BH21" s="5">
        <v>304</v>
      </c>
      <c r="BI21" s="5">
        <v>7351</v>
      </c>
      <c r="BJ21" s="5">
        <v>4022</v>
      </c>
      <c r="BK21" s="5">
        <v>2873</v>
      </c>
      <c r="BL21" s="5">
        <v>826.98750000000007</v>
      </c>
      <c r="BM21" s="5">
        <v>2681831</v>
      </c>
      <c r="BN21" s="5">
        <v>3672</v>
      </c>
      <c r="BO21" s="5">
        <v>34448.035860000004</v>
      </c>
      <c r="BP21" s="5">
        <v>146014</v>
      </c>
      <c r="BQ21" s="5">
        <v>180462.03586</v>
      </c>
      <c r="BR21" s="5">
        <v>1030.8789999999999</v>
      </c>
      <c r="BS21" s="5">
        <v>2681831</v>
      </c>
      <c r="BT21" s="5">
        <v>2373152</v>
      </c>
      <c r="BU21" s="5">
        <v>3.3396473359055844E-3</v>
      </c>
      <c r="BV21" s="5" t="s">
        <v>346</v>
      </c>
      <c r="BW21" s="5">
        <v>304</v>
      </c>
      <c r="BX21" s="5">
        <v>34448.035860000004</v>
      </c>
      <c r="BY21" s="5">
        <v>146014</v>
      </c>
      <c r="BZ21" s="5">
        <v>180462.03586</v>
      </c>
      <c r="CA21" s="5">
        <v>3599.442</v>
      </c>
      <c r="CB21" s="5">
        <v>15069.751</v>
      </c>
      <c r="CC21" s="5">
        <v>2539.7089999999998</v>
      </c>
      <c r="CD21" s="5">
        <v>40000</v>
      </c>
      <c r="CE21" s="5">
        <v>283475</v>
      </c>
      <c r="CF21" s="5">
        <v>15551983</v>
      </c>
      <c r="CG21" s="5">
        <v>52.47</v>
      </c>
      <c r="CH21" s="5">
        <v>1147781</v>
      </c>
      <c r="CI21" s="5">
        <v>138</v>
      </c>
      <c r="CJ21" s="5">
        <v>2539709</v>
      </c>
      <c r="CK21" s="5">
        <v>40000</v>
      </c>
      <c r="CL21" s="5">
        <v>283475</v>
      </c>
      <c r="CM21" s="5">
        <v>1012235</v>
      </c>
      <c r="CN21" s="43">
        <v>-981079.22400000005</v>
      </c>
      <c r="CO21" s="5">
        <v>1811356</v>
      </c>
      <c r="CP21" s="5">
        <v>0</v>
      </c>
      <c r="CQ21" s="5">
        <v>3500</v>
      </c>
      <c r="CR21" s="5">
        <v>62.85</v>
      </c>
      <c r="CS21" s="5">
        <v>70.78</v>
      </c>
      <c r="CT21" s="5">
        <v>457</v>
      </c>
      <c r="CU21" s="5">
        <v>91.87</v>
      </c>
      <c r="CV21" s="5">
        <v>3448</v>
      </c>
      <c r="CW21" s="5">
        <v>31778.19</v>
      </c>
      <c r="CX21" s="5">
        <v>60.98</v>
      </c>
      <c r="CY21" s="5">
        <v>62.85</v>
      </c>
      <c r="CZ21" s="5">
        <v>70.78</v>
      </c>
      <c r="DA21" s="5">
        <v>457</v>
      </c>
      <c r="DB21" s="5">
        <v>91.87</v>
      </c>
      <c r="DC21" s="5">
        <v>3448</v>
      </c>
      <c r="DD21" s="5">
        <v>31778.19</v>
      </c>
      <c r="DE21" s="5">
        <v>100.054</v>
      </c>
      <c r="DF21" s="5">
        <v>722.47</v>
      </c>
      <c r="DG21" s="5">
        <v>67.150000000000006</v>
      </c>
      <c r="DH21" s="5">
        <v>70.439999999999898</v>
      </c>
      <c r="DI21" s="5">
        <v>103.12</v>
      </c>
      <c r="DJ21" s="5">
        <v>100.054</v>
      </c>
      <c r="DK21" s="5">
        <v>722.47</v>
      </c>
      <c r="DL21" s="5">
        <v>213.77</v>
      </c>
      <c r="DM21" s="5">
        <v>2314</v>
      </c>
      <c r="DN21" s="5">
        <v>67.150000000000006</v>
      </c>
      <c r="DO21" s="5">
        <v>70.439999999999898</v>
      </c>
      <c r="DP21" s="5">
        <v>103.12</v>
      </c>
    </row>
    <row r="22" spans="1:120" x14ac:dyDescent="0.35">
      <c r="B22">
        <v>2</v>
      </c>
      <c r="C22" s="11">
        <v>674.28899999999999</v>
      </c>
      <c r="D22" s="5">
        <v>3572.5</v>
      </c>
      <c r="E22" s="5">
        <v>1575</v>
      </c>
      <c r="F22" s="11">
        <v>2.2711515151515149</v>
      </c>
      <c r="G22" s="5">
        <v>237.23250000000002</v>
      </c>
      <c r="H22" s="5">
        <v>2141</v>
      </c>
      <c r="I22" s="11">
        <v>50.064999999999998</v>
      </c>
      <c r="J22" s="5">
        <v>638061</v>
      </c>
      <c r="K22" s="5">
        <v>126</v>
      </c>
      <c r="L22" s="11">
        <v>3.915</v>
      </c>
      <c r="M22" s="5">
        <v>129.5</v>
      </c>
      <c r="N22" s="5">
        <v>33728.431905000005</v>
      </c>
      <c r="O22" s="5">
        <v>674.28899999999999</v>
      </c>
      <c r="P22" s="5">
        <v>33728.431905000005</v>
      </c>
      <c r="Q22" s="5">
        <v>186962.931905</v>
      </c>
      <c r="R22" s="5">
        <v>153234.5</v>
      </c>
      <c r="S22" s="5">
        <v>21033.329839312501</v>
      </c>
      <c r="T22" s="5">
        <v>0.1125</v>
      </c>
      <c r="U22" s="5">
        <v>186962.931905</v>
      </c>
      <c r="V22" s="5">
        <v>104708.4892</v>
      </c>
      <c r="W22" s="5">
        <v>3.0999999999999999E-3</v>
      </c>
      <c r="X22" s="5">
        <v>33776932</v>
      </c>
      <c r="Y22" s="5">
        <v>1017.8389999999999</v>
      </c>
      <c r="Z22" s="5">
        <v>7913</v>
      </c>
      <c r="AA22" s="5">
        <v>3181.9349999999999</v>
      </c>
      <c r="AB22" s="5">
        <v>1046.8204999999998</v>
      </c>
      <c r="AC22" s="5">
        <v>1966.2550000000001</v>
      </c>
      <c r="AD22" s="5">
        <v>5.3999999999999999E-2</v>
      </c>
      <c r="AE22" s="5">
        <v>829.23750000000007</v>
      </c>
      <c r="AF22" s="5">
        <v>1013249.5</v>
      </c>
      <c r="AG22" s="5">
        <v>31352.044750000001</v>
      </c>
      <c r="AH22" s="5">
        <v>33776932</v>
      </c>
      <c r="AI22" s="5">
        <v>104708.4892</v>
      </c>
      <c r="AJ22" s="5">
        <v>1046820.5</v>
      </c>
      <c r="AK22" s="5">
        <v>31329.039000000001</v>
      </c>
      <c r="AL22" s="5">
        <v>8216.75</v>
      </c>
      <c r="AM22" s="5">
        <v>7913</v>
      </c>
      <c r="AN22" s="5">
        <v>242.8777365</v>
      </c>
      <c r="AO22" s="5">
        <v>49.612672777499995</v>
      </c>
      <c r="AP22" s="5">
        <v>3.3030879970843694</v>
      </c>
      <c r="AQ22" s="5">
        <v>30890.952000000001</v>
      </c>
      <c r="AR22" s="5">
        <v>300.5</v>
      </c>
      <c r="AS22" s="5">
        <v>3900</v>
      </c>
      <c r="AT22" s="5">
        <v>9023.5</v>
      </c>
      <c r="AU22" s="5">
        <v>35193000</v>
      </c>
      <c r="AV22" s="5">
        <v>1854025.1349999998</v>
      </c>
      <c r="AW22" s="5">
        <v>31352.044750000001</v>
      </c>
      <c r="AX22" s="5">
        <v>31329.039000000001</v>
      </c>
      <c r="AY22" s="5">
        <v>23.005749999998443</v>
      </c>
      <c r="AZ22" s="5">
        <v>4108</v>
      </c>
      <c r="BA22" s="5">
        <v>7334.5</v>
      </c>
      <c r="BB22" s="5">
        <v>7371</v>
      </c>
      <c r="BC22" s="5">
        <v>3572.5</v>
      </c>
      <c r="BD22" s="52" t="s">
        <v>346</v>
      </c>
      <c r="BE22" s="5">
        <v>7334.5</v>
      </c>
      <c r="BF22" s="5">
        <v>829.23750000000007</v>
      </c>
      <c r="BG22" s="5">
        <v>542</v>
      </c>
      <c r="BH22" s="5">
        <v>542</v>
      </c>
      <c r="BI22" s="5">
        <v>7371</v>
      </c>
      <c r="BJ22" s="5">
        <v>4108</v>
      </c>
      <c r="BK22" s="5">
        <v>2986</v>
      </c>
      <c r="BL22" s="5">
        <v>829.23750000000007</v>
      </c>
      <c r="BM22" s="5">
        <v>2814449</v>
      </c>
      <c r="BN22" s="5">
        <v>3750.5</v>
      </c>
      <c r="BO22" s="5">
        <v>33728.431905000005</v>
      </c>
      <c r="BP22" s="5">
        <v>153234.5</v>
      </c>
      <c r="BQ22" s="5">
        <v>186962.931905</v>
      </c>
      <c r="BR22" s="5">
        <v>1046.8204999999998</v>
      </c>
      <c r="BS22" s="5">
        <v>2814449</v>
      </c>
      <c r="BT22" s="5">
        <v>2527491.5</v>
      </c>
      <c r="BU22" s="5">
        <v>3.6732508045405855E-3</v>
      </c>
      <c r="BV22" s="5" t="s">
        <v>346</v>
      </c>
      <c r="BW22" s="5">
        <v>542</v>
      </c>
      <c r="BX22" s="5">
        <v>33728.431905000005</v>
      </c>
      <c r="BY22" s="5">
        <v>153234.5</v>
      </c>
      <c r="BZ22" s="5">
        <v>186962.931905</v>
      </c>
      <c r="CA22" s="5">
        <v>3685.2200000000003</v>
      </c>
      <c r="CB22" s="5">
        <v>15255.0345</v>
      </c>
      <c r="CC22" s="5">
        <v>2592.6194999999998</v>
      </c>
      <c r="CD22" s="5">
        <v>41500</v>
      </c>
      <c r="CE22" s="5">
        <v>284474</v>
      </c>
      <c r="CF22" s="5">
        <v>15334027</v>
      </c>
      <c r="CG22" s="5">
        <v>49.355000000000004</v>
      </c>
      <c r="CH22" s="5">
        <v>1167980.5</v>
      </c>
      <c r="CI22" s="5">
        <v>129.5</v>
      </c>
      <c r="CJ22" s="5">
        <v>2592619.5</v>
      </c>
      <c r="CK22" s="5">
        <v>41500</v>
      </c>
      <c r="CL22" s="5">
        <v>284474</v>
      </c>
      <c r="CM22" s="5">
        <v>1013249.5</v>
      </c>
      <c r="CN22" s="43">
        <v>-981920.46100000001</v>
      </c>
      <c r="CO22" s="5">
        <v>1862043.5</v>
      </c>
      <c r="CP22" s="5">
        <v>0</v>
      </c>
      <c r="CQ22" s="5">
        <v>3650</v>
      </c>
      <c r="CR22" s="5">
        <v>60.814999999999998</v>
      </c>
      <c r="CS22" s="5">
        <v>71.105000000000004</v>
      </c>
      <c r="CT22" s="5">
        <v>447.5</v>
      </c>
      <c r="CU22" s="5">
        <v>91.965000000000003</v>
      </c>
      <c r="CV22" s="5">
        <v>3487</v>
      </c>
      <c r="CW22" s="5">
        <v>32269.61</v>
      </c>
      <c r="CX22" s="5">
        <v>61.914999999999999</v>
      </c>
      <c r="CY22" s="5">
        <v>60.814999999999998</v>
      </c>
      <c r="CZ22" s="5">
        <v>71.105000000000004</v>
      </c>
      <c r="DA22" s="5">
        <v>447.5</v>
      </c>
      <c r="DB22" s="5">
        <v>91.965000000000003</v>
      </c>
      <c r="DC22" s="5">
        <v>3487</v>
      </c>
      <c r="DD22" s="5">
        <v>32269.61</v>
      </c>
      <c r="DE22" s="5">
        <v>99.847000000000008</v>
      </c>
      <c r="DF22" s="5">
        <v>751.34</v>
      </c>
      <c r="DG22" s="5">
        <v>67.025000000000006</v>
      </c>
      <c r="DH22" s="5">
        <v>70.599999999999909</v>
      </c>
      <c r="DI22" s="5">
        <v>101.587</v>
      </c>
      <c r="DJ22" s="5">
        <v>99.847000000000008</v>
      </c>
      <c r="DK22" s="5">
        <v>751.34</v>
      </c>
      <c r="DL22" s="5">
        <v>237.23250000000002</v>
      </c>
      <c r="DM22" s="5">
        <v>2141</v>
      </c>
      <c r="DN22" s="5">
        <v>67.025000000000006</v>
      </c>
      <c r="DO22" s="5">
        <v>70.599999999999909</v>
      </c>
      <c r="DP22" s="5">
        <v>101.587</v>
      </c>
    </row>
    <row r="23" spans="1:120" x14ac:dyDescent="0.35">
      <c r="A23">
        <v>2010</v>
      </c>
      <c r="B23">
        <v>1</v>
      </c>
      <c r="C23" s="11">
        <v>688.40099999999995</v>
      </c>
      <c r="D23" s="5">
        <v>3647</v>
      </c>
      <c r="E23" s="5">
        <v>1650</v>
      </c>
      <c r="F23" s="11">
        <v>2.2103030303030304</v>
      </c>
      <c r="G23" s="5">
        <v>260.69499999999999</v>
      </c>
      <c r="H23" s="5">
        <v>1968</v>
      </c>
      <c r="I23" s="6">
        <v>47.95</v>
      </c>
      <c r="J23" s="5">
        <v>660177</v>
      </c>
      <c r="K23" s="5">
        <v>120</v>
      </c>
      <c r="L23">
        <v>4.01</v>
      </c>
      <c r="M23" s="5">
        <v>132</v>
      </c>
      <c r="N23" s="5">
        <v>33008.827949999999</v>
      </c>
      <c r="O23" s="5">
        <v>688.40099999999995</v>
      </c>
      <c r="P23" s="5">
        <v>33008.827949999999</v>
      </c>
      <c r="Q23" s="5">
        <v>193463.82795000001</v>
      </c>
      <c r="R23" s="5">
        <v>160455</v>
      </c>
      <c r="S23" s="5">
        <v>21764.680644375003</v>
      </c>
      <c r="T23" s="5">
        <v>0.1125</v>
      </c>
      <c r="U23" s="5">
        <v>193463.82795000001</v>
      </c>
      <c r="V23" s="5">
        <v>106573.5267</v>
      </c>
      <c r="W23" s="5">
        <v>3.0999999999999999E-3</v>
      </c>
      <c r="X23" s="5">
        <v>34378557</v>
      </c>
      <c r="Y23" s="5">
        <v>1021.414</v>
      </c>
      <c r="Z23" s="5">
        <v>8171</v>
      </c>
      <c r="AA23" s="5">
        <v>3297.3420000000001</v>
      </c>
      <c r="AB23" s="5">
        <v>1062.7619999999999</v>
      </c>
      <c r="AC23" s="5">
        <v>2019.779</v>
      </c>
      <c r="AD23" s="5">
        <v>5.0999999999999997E-2</v>
      </c>
      <c r="AE23" s="5">
        <v>831.48750000000007</v>
      </c>
      <c r="AF23" s="5">
        <v>1014264</v>
      </c>
      <c r="AG23" s="5">
        <v>32796.710729999999</v>
      </c>
      <c r="AH23" s="5">
        <v>34378557</v>
      </c>
      <c r="AI23" s="5">
        <v>106573.5267</v>
      </c>
      <c r="AJ23" s="5">
        <v>1062762</v>
      </c>
      <c r="AK23" s="5">
        <v>31502.302</v>
      </c>
      <c r="AL23" s="5">
        <v>8388.0999999999985</v>
      </c>
      <c r="AM23" s="5">
        <v>8171</v>
      </c>
      <c r="AN23" s="5">
        <v>243.62078</v>
      </c>
      <c r="AO23" s="5">
        <v>49.937264999999996</v>
      </c>
      <c r="AP23" s="5">
        <v>3.3031960574204891</v>
      </c>
      <c r="AQ23" s="5">
        <v>31155.776000000002</v>
      </c>
      <c r="AR23" s="5">
        <v>420</v>
      </c>
      <c r="AS23" s="5">
        <v>4000</v>
      </c>
      <c r="AT23" s="5">
        <v>9037</v>
      </c>
      <c r="AU23" s="5">
        <v>36148000</v>
      </c>
      <c r="AV23" s="5">
        <v>3084330.1699999981</v>
      </c>
      <c r="AW23" s="5">
        <v>32796.710729999999</v>
      </c>
      <c r="AX23" s="5">
        <v>31502.302</v>
      </c>
      <c r="AY23" s="5">
        <v>1294.4087299999992</v>
      </c>
      <c r="AZ23" s="5">
        <v>4194</v>
      </c>
      <c r="BA23" s="5">
        <v>7351</v>
      </c>
      <c r="BB23" s="5">
        <v>7391</v>
      </c>
      <c r="BC23" s="5">
        <v>3647</v>
      </c>
      <c r="BD23" s="52" t="s">
        <v>347</v>
      </c>
      <c r="BE23" s="5">
        <v>7351</v>
      </c>
      <c r="BF23" s="5">
        <v>831.48750000000007</v>
      </c>
      <c r="BG23" s="5">
        <v>780</v>
      </c>
      <c r="BH23" s="5">
        <v>780</v>
      </c>
      <c r="BI23" s="5">
        <v>7391</v>
      </c>
      <c r="BJ23" s="5">
        <v>4194</v>
      </c>
      <c r="BK23" s="5">
        <v>3099</v>
      </c>
      <c r="BL23" s="5">
        <v>831.48750000000007</v>
      </c>
      <c r="BM23" s="5">
        <v>2947067</v>
      </c>
      <c r="BN23" s="5">
        <v>3829</v>
      </c>
      <c r="BO23" s="5">
        <v>33008.827949999999</v>
      </c>
      <c r="BP23" s="5">
        <v>160455</v>
      </c>
      <c r="BQ23" s="5">
        <v>193463.82795000001</v>
      </c>
      <c r="BR23" s="5">
        <v>1062.7619999999999</v>
      </c>
      <c r="BS23" s="5">
        <v>2947067</v>
      </c>
      <c r="BT23" s="5">
        <v>2681831</v>
      </c>
      <c r="BU23" s="5">
        <v>4.006854273175587E-3</v>
      </c>
      <c r="BV23" s="5" t="s">
        <v>347</v>
      </c>
      <c r="BW23" s="5">
        <v>780</v>
      </c>
      <c r="BX23" s="5">
        <v>33008.827949999999</v>
      </c>
      <c r="BY23" s="5">
        <v>160455</v>
      </c>
      <c r="BZ23" s="5">
        <v>193463.82795000001</v>
      </c>
      <c r="CA23" s="5">
        <v>3770.998</v>
      </c>
      <c r="CB23" s="5">
        <v>15440.317999999999</v>
      </c>
      <c r="CC23" s="5">
        <v>2645.53</v>
      </c>
      <c r="CD23" s="5">
        <v>43000</v>
      </c>
      <c r="CE23" s="5">
        <v>285473</v>
      </c>
      <c r="CF23" s="5">
        <v>15116071</v>
      </c>
      <c r="CG23" s="5">
        <v>46.24</v>
      </c>
      <c r="CH23" s="5">
        <v>1188180</v>
      </c>
      <c r="CI23" s="5">
        <v>121</v>
      </c>
      <c r="CJ23" s="5">
        <v>2645530</v>
      </c>
      <c r="CK23" s="5">
        <v>43000</v>
      </c>
      <c r="CL23" s="5">
        <v>285473</v>
      </c>
      <c r="CM23" s="5">
        <v>1014264</v>
      </c>
      <c r="CN23" s="43">
        <v>-982761.69799999997</v>
      </c>
      <c r="CO23" s="5">
        <v>1912731</v>
      </c>
      <c r="CP23" s="5">
        <v>0</v>
      </c>
      <c r="CQ23" s="5">
        <v>3800</v>
      </c>
      <c r="CR23" s="5">
        <v>58.78</v>
      </c>
      <c r="CS23" s="5">
        <v>71.430000000000007</v>
      </c>
      <c r="CT23" s="5">
        <v>438</v>
      </c>
      <c r="CU23" s="5">
        <v>92.06</v>
      </c>
      <c r="CV23" s="5">
        <v>3526</v>
      </c>
      <c r="CW23" s="5">
        <v>32761.03</v>
      </c>
      <c r="CX23" s="5">
        <v>62.85</v>
      </c>
      <c r="CY23" s="5">
        <v>58.78</v>
      </c>
      <c r="CZ23" s="5">
        <v>71.430000000000007</v>
      </c>
      <c r="DA23" s="5">
        <v>438</v>
      </c>
      <c r="DB23" s="5">
        <v>92.06</v>
      </c>
      <c r="DC23" s="5">
        <v>3526</v>
      </c>
      <c r="DD23" s="5">
        <v>32761.03</v>
      </c>
      <c r="DE23" s="5">
        <v>99.64</v>
      </c>
      <c r="DF23" s="5">
        <v>780.21</v>
      </c>
      <c r="DG23" s="5">
        <v>66.900000000000006</v>
      </c>
      <c r="DH23" s="5">
        <v>70.759999999999906</v>
      </c>
      <c r="DI23" s="5">
        <v>100.054</v>
      </c>
      <c r="DJ23" s="5">
        <v>99.64</v>
      </c>
      <c r="DK23" s="5">
        <v>780.21</v>
      </c>
      <c r="DL23" s="5">
        <v>260.69499999999999</v>
      </c>
      <c r="DM23" s="5">
        <v>1968</v>
      </c>
      <c r="DN23" s="5">
        <v>66.900000000000006</v>
      </c>
      <c r="DO23" s="5">
        <v>70.759999999999906</v>
      </c>
      <c r="DP23" s="5">
        <v>100.054</v>
      </c>
    </row>
    <row r="24" spans="1:120" x14ac:dyDescent="0.35">
      <c r="B24">
        <v>2</v>
      </c>
      <c r="C24" s="11">
        <v>695.78449999999998</v>
      </c>
      <c r="D24" s="5">
        <v>3713.5</v>
      </c>
      <c r="E24" s="5">
        <v>1675</v>
      </c>
      <c r="F24" s="11">
        <v>2.216916221033868</v>
      </c>
      <c r="G24" s="5">
        <v>275.17849999999999</v>
      </c>
      <c r="H24" s="5">
        <v>2005</v>
      </c>
      <c r="I24" s="11">
        <v>48.44</v>
      </c>
      <c r="J24" s="5">
        <v>674289</v>
      </c>
      <c r="K24" s="5">
        <v>122.5</v>
      </c>
      <c r="L24" s="11">
        <v>4.12</v>
      </c>
      <c r="M24" s="5">
        <v>126</v>
      </c>
      <c r="N24" s="5">
        <v>33707.419095000005</v>
      </c>
      <c r="O24" s="5">
        <v>695.78449999999998</v>
      </c>
      <c r="P24" s="5">
        <v>33707.419095000005</v>
      </c>
      <c r="Q24" s="5">
        <v>197505.41909500002</v>
      </c>
      <c r="R24" s="5">
        <v>163798</v>
      </c>
      <c r="S24" s="5">
        <v>22239.514349211502</v>
      </c>
      <c r="T24" s="5">
        <v>0.11260000000000001</v>
      </c>
      <c r="U24" s="5">
        <v>197505.41909500002</v>
      </c>
      <c r="V24" s="5">
        <v>111005.22255000001</v>
      </c>
      <c r="W24" s="5">
        <v>3.15E-3</v>
      </c>
      <c r="X24" s="5">
        <v>35226297</v>
      </c>
      <c r="Y24" s="5">
        <v>1027.617</v>
      </c>
      <c r="Z24" s="5">
        <v>8230.5</v>
      </c>
      <c r="AA24" s="5">
        <v>3330.9885000000004</v>
      </c>
      <c r="AB24" s="5">
        <v>1069.761</v>
      </c>
      <c r="AC24" s="5">
        <v>2076.299</v>
      </c>
      <c r="AD24" s="5">
        <v>5.1499999999999997E-2</v>
      </c>
      <c r="AE24" s="5">
        <v>860.34525000000008</v>
      </c>
      <c r="AF24" s="5">
        <v>1017839</v>
      </c>
      <c r="AG24" s="5">
        <v>33876.226289999999</v>
      </c>
      <c r="AH24" s="5">
        <v>35226297</v>
      </c>
      <c r="AI24" s="5">
        <v>111005.22255000001</v>
      </c>
      <c r="AJ24" s="5">
        <v>1069761</v>
      </c>
      <c r="AK24" s="5">
        <v>31840.1715</v>
      </c>
      <c r="AL24" s="5">
        <v>8541.0499999999993</v>
      </c>
      <c r="AM24" s="5">
        <v>8230.5</v>
      </c>
      <c r="AN24" s="5">
        <v>244.36838399999999</v>
      </c>
      <c r="AO24" s="5">
        <v>50.266132499999998</v>
      </c>
      <c r="AP24" s="5">
        <v>3.3033040640086155</v>
      </c>
      <c r="AQ24" s="5">
        <v>31329.039000000001</v>
      </c>
      <c r="AR24" s="5">
        <v>325.5</v>
      </c>
      <c r="AS24" s="5">
        <v>4150</v>
      </c>
      <c r="AT24" s="5">
        <v>9052.5</v>
      </c>
      <c r="AU24" s="5">
        <v>37570200</v>
      </c>
      <c r="AV24" s="5">
        <v>2444016.0099999998</v>
      </c>
      <c r="AW24" s="5">
        <v>33876.226289999999</v>
      </c>
      <c r="AX24" s="5">
        <v>31840.1715</v>
      </c>
      <c r="AY24" s="5">
        <v>2036.0547899999983</v>
      </c>
      <c r="AZ24" s="5">
        <v>4270.5</v>
      </c>
      <c r="BA24" s="5">
        <v>7371</v>
      </c>
      <c r="BB24" s="5">
        <v>7640.5</v>
      </c>
      <c r="BC24" s="5">
        <v>3713.5</v>
      </c>
      <c r="BD24" s="52" t="s">
        <v>347</v>
      </c>
      <c r="BE24" s="5">
        <v>7371</v>
      </c>
      <c r="BF24" s="5">
        <v>860.34525000000008</v>
      </c>
      <c r="BG24" s="5">
        <v>590</v>
      </c>
      <c r="BH24" s="5">
        <v>590</v>
      </c>
      <c r="BI24" s="5">
        <v>7640.5</v>
      </c>
      <c r="BJ24" s="5">
        <v>4270.5</v>
      </c>
      <c r="BK24" s="5">
        <v>3156</v>
      </c>
      <c r="BL24" s="5">
        <v>860.34525000000008</v>
      </c>
      <c r="BM24" s="5">
        <v>3277235</v>
      </c>
      <c r="BN24" s="5">
        <v>3899</v>
      </c>
      <c r="BO24" s="5">
        <v>33707.419095000005</v>
      </c>
      <c r="BP24" s="5">
        <v>163798</v>
      </c>
      <c r="BQ24" s="5">
        <v>197505.41909500002</v>
      </c>
      <c r="BR24" s="5">
        <v>1069.761</v>
      </c>
      <c r="BS24" s="5">
        <v>3277235</v>
      </c>
      <c r="BT24" s="5">
        <v>2814449</v>
      </c>
      <c r="BU24" s="5">
        <v>2.8187393412835845E-3</v>
      </c>
      <c r="BV24" s="5" t="s">
        <v>347</v>
      </c>
      <c r="BW24" s="5">
        <v>590</v>
      </c>
      <c r="BX24" s="5">
        <v>33707.419095000005</v>
      </c>
      <c r="BY24" s="5">
        <v>163798</v>
      </c>
      <c r="BZ24" s="5">
        <v>197505.41909500002</v>
      </c>
      <c r="CA24" s="5">
        <v>3892.6790000000001</v>
      </c>
      <c r="CB24" s="5">
        <v>15712.0425</v>
      </c>
      <c r="CC24" s="5">
        <v>2704.9650000000001</v>
      </c>
      <c r="CD24" s="5">
        <v>45500</v>
      </c>
      <c r="CE24" s="5">
        <v>286046.5</v>
      </c>
      <c r="CF24" s="5">
        <v>16173285.5</v>
      </c>
      <c r="CG24" s="5">
        <v>49.730000000000004</v>
      </c>
      <c r="CH24" s="5">
        <v>1209090</v>
      </c>
      <c r="CI24" s="5">
        <v>128.5</v>
      </c>
      <c r="CJ24" s="5">
        <v>2704965</v>
      </c>
      <c r="CK24" s="5">
        <v>45500</v>
      </c>
      <c r="CL24" s="5">
        <v>286046.5</v>
      </c>
      <c r="CM24" s="5">
        <v>1017839</v>
      </c>
      <c r="CN24" s="43">
        <v>-985998.82850000006</v>
      </c>
      <c r="CO24" s="5">
        <v>1966255</v>
      </c>
      <c r="CP24" s="5">
        <v>0</v>
      </c>
      <c r="CQ24" s="5">
        <v>3900</v>
      </c>
      <c r="CR24" s="5">
        <v>59.625</v>
      </c>
      <c r="CS24" s="5">
        <v>71.685000000000002</v>
      </c>
      <c r="CT24" s="5">
        <v>456</v>
      </c>
      <c r="CU24" s="5">
        <v>92.295000000000002</v>
      </c>
      <c r="CV24" s="5">
        <v>3584.5</v>
      </c>
      <c r="CW24" s="5">
        <v>33302.535000000003</v>
      </c>
      <c r="CX24" s="5">
        <v>60.814999999999998</v>
      </c>
      <c r="CY24" s="5">
        <v>59.625</v>
      </c>
      <c r="CZ24" s="5">
        <v>71.685000000000002</v>
      </c>
      <c r="DA24" s="5">
        <v>456</v>
      </c>
      <c r="DB24" s="5">
        <v>92.295000000000002</v>
      </c>
      <c r="DC24" s="5">
        <v>3584.5</v>
      </c>
      <c r="DD24" s="5">
        <v>33302.535000000003</v>
      </c>
      <c r="DE24" s="5">
        <v>99.025000000000006</v>
      </c>
      <c r="DF24" s="5">
        <v>806.88499999999999</v>
      </c>
      <c r="DG24" s="5">
        <v>67.03</v>
      </c>
      <c r="DH24" s="5">
        <v>70.919999999999902</v>
      </c>
      <c r="DI24" s="5">
        <v>99.847000000000008</v>
      </c>
      <c r="DJ24" s="5">
        <v>99.025000000000006</v>
      </c>
      <c r="DK24" s="5">
        <v>806.88499999999999</v>
      </c>
      <c r="DL24" s="5">
        <v>275.17849999999999</v>
      </c>
      <c r="DM24" s="5">
        <v>2005</v>
      </c>
      <c r="DN24" s="5">
        <v>67.03</v>
      </c>
      <c r="DO24" s="5">
        <v>70.919999999999902</v>
      </c>
      <c r="DP24" s="5">
        <v>99.847000000000008</v>
      </c>
    </row>
    <row r="25" spans="1:120" x14ac:dyDescent="0.35">
      <c r="A25">
        <v>2011</v>
      </c>
      <c r="B25">
        <v>1</v>
      </c>
      <c r="C25" s="11">
        <v>703.16800000000001</v>
      </c>
      <c r="D25" s="5">
        <v>3780</v>
      </c>
      <c r="E25" s="5">
        <v>1700</v>
      </c>
      <c r="F25" s="11">
        <v>2.223529411764706</v>
      </c>
      <c r="G25" s="5">
        <v>289.66199999999998</v>
      </c>
      <c r="H25" s="5">
        <v>2042</v>
      </c>
      <c r="I25" s="6">
        <v>48.93</v>
      </c>
      <c r="J25" s="5">
        <v>688401</v>
      </c>
      <c r="K25" s="5">
        <v>125</v>
      </c>
      <c r="L25">
        <v>4.2300000000000004</v>
      </c>
      <c r="M25" s="5">
        <v>120</v>
      </c>
      <c r="N25" s="5">
        <v>34406.010240000003</v>
      </c>
      <c r="O25" s="5">
        <v>703.16800000000001</v>
      </c>
      <c r="P25" s="5">
        <v>34406.010240000003</v>
      </c>
      <c r="Q25" s="5">
        <v>201547.01024</v>
      </c>
      <c r="R25" s="5">
        <v>167141</v>
      </c>
      <c r="S25" s="5">
        <v>22714.348054047998</v>
      </c>
      <c r="T25" s="5">
        <v>0.11269999999999999</v>
      </c>
      <c r="U25" s="5">
        <v>201547.01024</v>
      </c>
      <c r="V25" s="5">
        <v>115436.91840000001</v>
      </c>
      <c r="W25" s="5">
        <v>3.2000000000000002E-3</v>
      </c>
      <c r="X25" s="5">
        <v>36074037</v>
      </c>
      <c r="Y25" s="5">
        <v>1033.82</v>
      </c>
      <c r="Z25" s="5">
        <v>8290</v>
      </c>
      <c r="AA25" s="5">
        <v>3364.6350000000002</v>
      </c>
      <c r="AB25" s="5">
        <v>1076.76</v>
      </c>
      <c r="AC25" s="5">
        <v>2132.819</v>
      </c>
      <c r="AD25" s="5">
        <v>5.1999999999999998E-2</v>
      </c>
      <c r="AE25" s="5">
        <v>889.20299999999997</v>
      </c>
      <c r="AF25" s="5">
        <v>1021414</v>
      </c>
      <c r="AG25" s="5">
        <v>34955.741849999999</v>
      </c>
      <c r="AH25" s="5">
        <v>36074037</v>
      </c>
      <c r="AI25" s="5">
        <v>115436.91840000001</v>
      </c>
      <c r="AJ25" s="5">
        <v>1076760</v>
      </c>
      <c r="AK25" s="5">
        <v>32178.041000000001</v>
      </c>
      <c r="AL25" s="5">
        <v>8694</v>
      </c>
      <c r="AM25" s="5">
        <v>8290</v>
      </c>
      <c r="AN25" s="5">
        <v>245.11598799999999</v>
      </c>
      <c r="AO25" s="5">
        <v>50.594999999999999</v>
      </c>
      <c r="AP25" s="5">
        <v>3.303412070596742</v>
      </c>
      <c r="AQ25" s="5">
        <v>31502.302</v>
      </c>
      <c r="AR25" s="5">
        <v>231</v>
      </c>
      <c r="AS25" s="5">
        <v>4300</v>
      </c>
      <c r="AT25" s="5">
        <v>9068</v>
      </c>
      <c r="AU25" s="5">
        <v>38992400</v>
      </c>
      <c r="AV25" s="5">
        <v>1803701.8500000015</v>
      </c>
      <c r="AW25" s="5">
        <v>34955.741849999999</v>
      </c>
      <c r="AX25" s="5">
        <v>32178.041000000001</v>
      </c>
      <c r="AY25" s="5">
        <v>2777.7008499999974</v>
      </c>
      <c r="AZ25" s="5">
        <v>4347</v>
      </c>
      <c r="BA25" s="5">
        <v>7391</v>
      </c>
      <c r="BB25" s="5">
        <v>7890</v>
      </c>
      <c r="BC25" s="5">
        <v>3780</v>
      </c>
      <c r="BD25" s="52" t="s">
        <v>348</v>
      </c>
      <c r="BE25" s="5">
        <v>7391</v>
      </c>
      <c r="BF25" s="5">
        <v>889.20299999999997</v>
      </c>
      <c r="BG25" s="5">
        <v>400</v>
      </c>
      <c r="BH25" s="5">
        <v>400</v>
      </c>
      <c r="BI25" s="5">
        <v>7890</v>
      </c>
      <c r="BJ25" s="5">
        <v>4347</v>
      </c>
      <c r="BK25" s="5">
        <v>3213</v>
      </c>
      <c r="BL25" s="5">
        <v>889.20299999999997</v>
      </c>
      <c r="BM25" s="5">
        <v>3607403</v>
      </c>
      <c r="BN25" s="5">
        <v>3969</v>
      </c>
      <c r="BO25" s="5">
        <v>34406.010240000003</v>
      </c>
      <c r="BP25" s="5">
        <v>167141</v>
      </c>
      <c r="BQ25" s="5">
        <v>201547.01024</v>
      </c>
      <c r="BR25" s="5">
        <v>1076.76</v>
      </c>
      <c r="BS25" s="5">
        <v>3607403</v>
      </c>
      <c r="BT25" s="5">
        <v>2947067</v>
      </c>
      <c r="BU25" s="5">
        <v>1.6306244093915825E-3</v>
      </c>
      <c r="BV25" s="5" t="s">
        <v>348</v>
      </c>
      <c r="BW25" s="5">
        <v>400</v>
      </c>
      <c r="BX25" s="5">
        <v>34406.010240000003</v>
      </c>
      <c r="BY25" s="5">
        <v>167141</v>
      </c>
      <c r="BZ25" s="5">
        <v>201547.01024</v>
      </c>
      <c r="CA25" s="5">
        <v>4014.36</v>
      </c>
      <c r="CB25" s="5">
        <v>15983.767</v>
      </c>
      <c r="CC25" s="5">
        <v>2764.4</v>
      </c>
      <c r="CD25" s="5">
        <v>48000</v>
      </c>
      <c r="CE25" s="5">
        <v>286620</v>
      </c>
      <c r="CF25" s="5">
        <v>17230500</v>
      </c>
      <c r="CG25" s="5">
        <v>53.22</v>
      </c>
      <c r="CH25" s="5">
        <v>1230000</v>
      </c>
      <c r="CI25" s="5">
        <v>136</v>
      </c>
      <c r="CJ25" s="5">
        <v>2764400</v>
      </c>
      <c r="CK25" s="5">
        <v>48000</v>
      </c>
      <c r="CL25" s="5">
        <v>286620</v>
      </c>
      <c r="CM25" s="5">
        <v>1021414</v>
      </c>
      <c r="CN25" s="43">
        <v>-989235.95900000003</v>
      </c>
      <c r="CO25" s="5">
        <v>2019779</v>
      </c>
      <c r="CP25" s="5">
        <v>0</v>
      </c>
      <c r="CQ25" s="5">
        <v>4000</v>
      </c>
      <c r="CR25" s="5">
        <v>60.47</v>
      </c>
      <c r="CS25" s="5">
        <v>71.94</v>
      </c>
      <c r="CT25" s="5">
        <v>474</v>
      </c>
      <c r="CU25" s="5">
        <v>92.53</v>
      </c>
      <c r="CV25" s="5">
        <v>3643</v>
      </c>
      <c r="CW25" s="5">
        <v>33844.04</v>
      </c>
      <c r="CX25" s="5">
        <v>58.78</v>
      </c>
      <c r="CY25" s="5">
        <v>60.47</v>
      </c>
      <c r="CZ25" s="5">
        <v>71.94</v>
      </c>
      <c r="DA25" s="5">
        <v>474</v>
      </c>
      <c r="DB25" s="5">
        <v>92.53</v>
      </c>
      <c r="DC25" s="5">
        <v>3643</v>
      </c>
      <c r="DD25" s="5">
        <v>33844.04</v>
      </c>
      <c r="DE25" s="5">
        <v>98.41</v>
      </c>
      <c r="DF25" s="5">
        <v>833.56</v>
      </c>
      <c r="DG25" s="5">
        <v>67.16</v>
      </c>
      <c r="DH25" s="5">
        <v>71.079999999999899</v>
      </c>
      <c r="DI25" s="5">
        <v>99.64</v>
      </c>
      <c r="DJ25" s="5">
        <v>98.41</v>
      </c>
      <c r="DK25" s="5">
        <v>833.56</v>
      </c>
      <c r="DL25" s="5">
        <v>289.66199999999998</v>
      </c>
      <c r="DM25" s="5">
        <v>2042</v>
      </c>
      <c r="DN25" s="5">
        <v>67.16</v>
      </c>
      <c r="DO25" s="5">
        <v>71.079999999999899</v>
      </c>
      <c r="DP25" s="5">
        <v>99.64</v>
      </c>
    </row>
    <row r="26" spans="1:120" x14ac:dyDescent="0.35">
      <c r="B26">
        <v>2</v>
      </c>
      <c r="C26" s="11">
        <v>708.73749999999995</v>
      </c>
      <c r="D26" s="5">
        <v>3931</v>
      </c>
      <c r="E26" s="5">
        <v>1775</v>
      </c>
      <c r="F26" s="11">
        <v>2.2150079491255963</v>
      </c>
      <c r="G26" s="5">
        <v>289.66199999999998</v>
      </c>
      <c r="H26" s="5">
        <v>2608.5</v>
      </c>
      <c r="I26" s="11">
        <v>49.33</v>
      </c>
      <c r="J26" s="5">
        <v>695784.5</v>
      </c>
      <c r="K26" s="5">
        <v>130</v>
      </c>
      <c r="L26" s="11">
        <v>4.4950000000000001</v>
      </c>
      <c r="M26" s="5">
        <v>122.5</v>
      </c>
      <c r="N26" s="5">
        <v>34964.248675000003</v>
      </c>
      <c r="O26" s="5">
        <v>708.73749999999995</v>
      </c>
      <c r="P26" s="5">
        <v>34964.248675000003</v>
      </c>
      <c r="Q26" s="5">
        <v>200104.74867499998</v>
      </c>
      <c r="R26" s="5">
        <v>165140.5</v>
      </c>
      <c r="S26" s="5">
        <v>22522.005802606</v>
      </c>
      <c r="T26" s="5">
        <v>0.11255</v>
      </c>
      <c r="U26" s="5">
        <v>200104.74867499998</v>
      </c>
      <c r="V26" s="5">
        <v>117166.69600000001</v>
      </c>
      <c r="W26" s="5">
        <v>3.2000000000000002E-3</v>
      </c>
      <c r="X26" s="5">
        <v>36614592.5</v>
      </c>
      <c r="Y26" s="5">
        <v>1677.2984999999999</v>
      </c>
      <c r="Z26" s="5">
        <v>8566.5</v>
      </c>
      <c r="AA26" s="5">
        <v>3368.7269999999999</v>
      </c>
      <c r="AB26" s="5">
        <v>2201.241</v>
      </c>
      <c r="AC26" s="5">
        <v>1809.223</v>
      </c>
      <c r="AD26" s="5">
        <v>5.1999999999999998E-2</v>
      </c>
      <c r="AE26" s="5">
        <v>930.33809999999994</v>
      </c>
      <c r="AF26" s="5">
        <v>1027617</v>
      </c>
      <c r="AG26" s="5">
        <v>35293.764389999997</v>
      </c>
      <c r="AH26" s="5">
        <v>36614592.5</v>
      </c>
      <c r="AI26" s="5">
        <v>117166.69600000001</v>
      </c>
      <c r="AJ26" s="5">
        <v>2201241</v>
      </c>
      <c r="AK26" s="5">
        <v>30802.459000000003</v>
      </c>
      <c r="AL26" s="5">
        <v>9041.2999999999993</v>
      </c>
      <c r="AM26" s="5">
        <v>8566.5</v>
      </c>
      <c r="AN26" s="5">
        <v>246.783851</v>
      </c>
      <c r="AO26" s="5">
        <v>50.935500000000005</v>
      </c>
      <c r="AP26" s="5">
        <v>3.3035200234903161</v>
      </c>
      <c r="AQ26" s="5">
        <v>31840.1715</v>
      </c>
      <c r="AR26" s="5">
        <v>181.5</v>
      </c>
      <c r="AS26" s="5">
        <v>4350</v>
      </c>
      <c r="AT26" s="5">
        <v>9369</v>
      </c>
      <c r="AU26" s="5">
        <v>40770200</v>
      </c>
      <c r="AV26" s="5">
        <v>1442406.4250000007</v>
      </c>
      <c r="AW26" s="5">
        <v>35293.764389999997</v>
      </c>
      <c r="AX26" s="5">
        <v>30802.459000000003</v>
      </c>
      <c r="AY26" s="5">
        <v>4491.3053899999995</v>
      </c>
      <c r="AZ26" s="5">
        <v>4520.6499999999996</v>
      </c>
      <c r="BA26" s="5">
        <v>7640.5</v>
      </c>
      <c r="BB26" s="5">
        <v>8266.5</v>
      </c>
      <c r="BC26" s="5">
        <v>3931</v>
      </c>
      <c r="BD26" s="52" t="s">
        <v>348</v>
      </c>
      <c r="BE26" s="5">
        <v>7640.5</v>
      </c>
      <c r="BF26" s="5">
        <v>930.33809999999994</v>
      </c>
      <c r="BG26" s="5">
        <v>300</v>
      </c>
      <c r="BH26" s="5">
        <v>300</v>
      </c>
      <c r="BI26" s="5">
        <v>8266.5</v>
      </c>
      <c r="BJ26" s="5">
        <v>4520.6499999999996</v>
      </c>
      <c r="BK26" s="5">
        <v>3291</v>
      </c>
      <c r="BL26" s="5">
        <v>930.33809999999994</v>
      </c>
      <c r="BM26" s="5">
        <v>3661458</v>
      </c>
      <c r="BN26" s="5">
        <v>4127.5</v>
      </c>
      <c r="BO26" s="5">
        <v>34964.248675000003</v>
      </c>
      <c r="BP26" s="5">
        <v>165140.5</v>
      </c>
      <c r="BQ26" s="5">
        <v>200104.74867499998</v>
      </c>
      <c r="BR26" s="5">
        <v>2201.241</v>
      </c>
      <c r="BS26" s="5">
        <v>3661458</v>
      </c>
      <c r="BT26" s="5">
        <v>3277235</v>
      </c>
      <c r="BU26" s="5">
        <v>1.6196507283781907E-2</v>
      </c>
      <c r="BV26" s="5" t="s">
        <v>348</v>
      </c>
      <c r="BW26" s="5">
        <v>300</v>
      </c>
      <c r="BX26" s="5">
        <v>34964.248675000003</v>
      </c>
      <c r="BY26" s="5">
        <v>165140.5</v>
      </c>
      <c r="BZ26" s="5">
        <v>200104.74867499998</v>
      </c>
      <c r="CA26" s="5">
        <v>4107.3689999999997</v>
      </c>
      <c r="CB26" s="5">
        <v>16729.378000000001</v>
      </c>
      <c r="CC26" s="5">
        <v>3019.2</v>
      </c>
      <c r="CD26" s="5">
        <v>46500</v>
      </c>
      <c r="CE26" s="5">
        <v>287857.5</v>
      </c>
      <c r="CF26" s="5">
        <v>18034269</v>
      </c>
      <c r="CG26" s="5">
        <v>48.120000000000005</v>
      </c>
      <c r="CH26" s="5">
        <v>1362222</v>
      </c>
      <c r="CI26" s="5">
        <v>138</v>
      </c>
      <c r="CJ26" s="5">
        <v>3019200</v>
      </c>
      <c r="CK26" s="5">
        <v>46500</v>
      </c>
      <c r="CL26" s="5">
        <v>287857.5</v>
      </c>
      <c r="CM26" s="5">
        <v>1027617</v>
      </c>
      <c r="CN26" s="43">
        <v>-996814.54099999997</v>
      </c>
      <c r="CO26" s="5">
        <v>2076299</v>
      </c>
      <c r="CP26" s="5">
        <v>0</v>
      </c>
      <c r="CQ26" s="5">
        <v>4150</v>
      </c>
      <c r="CR26" s="5">
        <v>62.62</v>
      </c>
      <c r="CS26" s="5">
        <v>71.954999999999998</v>
      </c>
      <c r="CT26" s="5">
        <v>474</v>
      </c>
      <c r="CU26" s="5">
        <v>93.045000000000002</v>
      </c>
      <c r="CV26" s="5">
        <v>3668.5</v>
      </c>
      <c r="CW26" s="5">
        <v>33893.404999999999</v>
      </c>
      <c r="CX26" s="5">
        <v>59.625</v>
      </c>
      <c r="CY26" s="5">
        <v>62.62</v>
      </c>
      <c r="CZ26" s="5">
        <v>71.954999999999998</v>
      </c>
      <c r="DA26" s="5">
        <v>474</v>
      </c>
      <c r="DB26" s="5">
        <v>93.045000000000002</v>
      </c>
      <c r="DC26" s="5">
        <v>3668.5</v>
      </c>
      <c r="DD26" s="5">
        <v>33893.404999999999</v>
      </c>
      <c r="DE26" s="5">
        <v>99.57</v>
      </c>
      <c r="DF26" s="5">
        <v>843.38499999999999</v>
      </c>
      <c r="DG26" s="5">
        <v>67.034999999999997</v>
      </c>
      <c r="DH26" s="5">
        <v>71.239999999999895</v>
      </c>
      <c r="DI26" s="5">
        <v>99.025000000000006</v>
      </c>
      <c r="DJ26" s="5">
        <v>99.57</v>
      </c>
      <c r="DK26" s="5">
        <v>843.38499999999999</v>
      </c>
      <c r="DL26" s="5">
        <v>289.66199999999998</v>
      </c>
      <c r="DM26" s="5">
        <v>2608.5</v>
      </c>
      <c r="DN26" s="5">
        <v>67.034999999999997</v>
      </c>
      <c r="DO26" s="5">
        <v>71.239999999999895</v>
      </c>
      <c r="DP26" s="5">
        <v>99.025000000000006</v>
      </c>
    </row>
    <row r="27" spans="1:120" x14ac:dyDescent="0.35">
      <c r="A27">
        <v>2012</v>
      </c>
      <c r="B27">
        <v>1</v>
      </c>
      <c r="C27" s="11">
        <v>714.30700000000002</v>
      </c>
      <c r="D27" s="5">
        <v>4082</v>
      </c>
      <c r="E27" s="5">
        <v>1850</v>
      </c>
      <c r="F27" s="11">
        <v>2.2064864864864866</v>
      </c>
      <c r="G27" s="5">
        <v>289.66199999999998</v>
      </c>
      <c r="H27" s="5">
        <v>3175</v>
      </c>
      <c r="I27" s="6">
        <v>49.73</v>
      </c>
      <c r="J27" s="5">
        <v>703168</v>
      </c>
      <c r="K27" s="5">
        <v>135</v>
      </c>
      <c r="L27">
        <v>4.76</v>
      </c>
      <c r="M27" s="5">
        <v>125</v>
      </c>
      <c r="N27" s="5">
        <v>35522.487110000002</v>
      </c>
      <c r="O27" s="5">
        <v>714.30700000000002</v>
      </c>
      <c r="P27" s="5">
        <v>35522.487110000002</v>
      </c>
      <c r="Q27" s="5">
        <v>198662.48710999999</v>
      </c>
      <c r="R27" s="5">
        <v>163140</v>
      </c>
      <c r="S27" s="5">
        <v>22329.663551163998</v>
      </c>
      <c r="T27" s="5">
        <v>0.1124</v>
      </c>
      <c r="U27" s="5">
        <v>198662.48710999999</v>
      </c>
      <c r="V27" s="5">
        <v>118896.47360000001</v>
      </c>
      <c r="W27" s="5">
        <v>3.2000000000000002E-3</v>
      </c>
      <c r="X27" s="5">
        <v>37155148</v>
      </c>
      <c r="Y27" s="5">
        <v>2320.777</v>
      </c>
      <c r="Z27" s="5">
        <v>8843</v>
      </c>
      <c r="AA27" s="5">
        <v>3372.819</v>
      </c>
      <c r="AB27" s="5">
        <v>3325.7220000000002</v>
      </c>
      <c r="AC27" s="5">
        <v>1485.627</v>
      </c>
      <c r="AD27" s="5">
        <v>5.1999999999999998E-2</v>
      </c>
      <c r="AE27" s="5">
        <v>971.47320000000002</v>
      </c>
      <c r="AF27" s="5">
        <v>1033820</v>
      </c>
      <c r="AG27" s="5">
        <v>35631.786930000002</v>
      </c>
      <c r="AH27" s="5">
        <v>37155148</v>
      </c>
      <c r="AI27" s="5">
        <v>118896.47360000001</v>
      </c>
      <c r="AJ27" s="5">
        <v>3325722</v>
      </c>
      <c r="AK27" s="5">
        <v>29426.877</v>
      </c>
      <c r="AL27" s="5">
        <v>9388.5999999999985</v>
      </c>
      <c r="AM27" s="5">
        <v>8843</v>
      </c>
      <c r="AN27" s="5">
        <v>248.45171400000001</v>
      </c>
      <c r="AO27" s="5">
        <v>51.276000000000003</v>
      </c>
      <c r="AP27" s="5">
        <v>3.3036279763838898</v>
      </c>
      <c r="AQ27" s="5">
        <v>32178.041000000001</v>
      </c>
      <c r="AR27" s="5">
        <v>132</v>
      </c>
      <c r="AS27" s="5">
        <v>4400</v>
      </c>
      <c r="AT27" s="5">
        <v>9670</v>
      </c>
      <c r="AU27" s="5">
        <v>42548000</v>
      </c>
      <c r="AV27" s="5">
        <v>1081111</v>
      </c>
      <c r="AW27" s="5">
        <v>35631.786930000002</v>
      </c>
      <c r="AX27" s="5">
        <v>29426.877</v>
      </c>
      <c r="AY27" s="5">
        <v>6204.9099300000016</v>
      </c>
      <c r="AZ27" s="5">
        <v>4694.2999999999993</v>
      </c>
      <c r="BA27" s="5">
        <v>7890</v>
      </c>
      <c r="BB27" s="5">
        <v>8643</v>
      </c>
      <c r="BC27" s="5">
        <v>4082</v>
      </c>
      <c r="BD27" s="52" t="s">
        <v>349</v>
      </c>
      <c r="BE27" s="5">
        <v>7890</v>
      </c>
      <c r="BF27" s="5">
        <v>971.47320000000002</v>
      </c>
      <c r="BG27" s="5">
        <v>200</v>
      </c>
      <c r="BH27" s="5">
        <v>200</v>
      </c>
      <c r="BI27" s="5">
        <v>8643</v>
      </c>
      <c r="BJ27" s="5">
        <v>4694.2999999999993</v>
      </c>
      <c r="BK27" s="5">
        <v>3369</v>
      </c>
      <c r="BL27" s="5">
        <v>971.47320000000002</v>
      </c>
      <c r="BM27" s="5">
        <v>3715513</v>
      </c>
      <c r="BN27" s="5">
        <v>4286</v>
      </c>
      <c r="BO27" s="5">
        <v>35522.487110000002</v>
      </c>
      <c r="BP27" s="5">
        <v>163140</v>
      </c>
      <c r="BQ27" s="5">
        <v>198662.48710999999</v>
      </c>
      <c r="BR27" s="5">
        <v>3325.7220000000002</v>
      </c>
      <c r="BS27" s="5">
        <v>3715513</v>
      </c>
      <c r="BT27" s="5">
        <v>3607403</v>
      </c>
      <c r="BU27" s="5">
        <v>3.0762390158172233E-2</v>
      </c>
      <c r="BV27" s="5" t="s">
        <v>349</v>
      </c>
      <c r="BW27" s="5">
        <v>200</v>
      </c>
      <c r="BX27" s="5">
        <v>35522.487110000002</v>
      </c>
      <c r="BY27" s="5">
        <v>163140</v>
      </c>
      <c r="BZ27" s="5">
        <v>198662.48710999999</v>
      </c>
      <c r="CA27" s="5">
        <v>4200.3779999999997</v>
      </c>
      <c r="CB27" s="5">
        <v>17474.989000000001</v>
      </c>
      <c r="CC27" s="5">
        <v>3274</v>
      </c>
      <c r="CD27" s="5">
        <v>45000</v>
      </c>
      <c r="CE27" s="5">
        <v>289095</v>
      </c>
      <c r="CF27" s="5">
        <v>18838038</v>
      </c>
      <c r="CG27" s="5">
        <v>43.02</v>
      </c>
      <c r="CH27" s="5">
        <v>1494444</v>
      </c>
      <c r="CI27" s="5">
        <v>140</v>
      </c>
      <c r="CJ27" s="5">
        <v>3274000</v>
      </c>
      <c r="CK27" s="5">
        <v>45000</v>
      </c>
      <c r="CL27" s="5">
        <v>289095</v>
      </c>
      <c r="CM27" s="5">
        <v>1033820</v>
      </c>
      <c r="CN27" s="43">
        <v>-1004393.123</v>
      </c>
      <c r="CO27" s="5">
        <v>2132819</v>
      </c>
      <c r="CP27" s="5">
        <v>0</v>
      </c>
      <c r="CQ27" s="5">
        <v>4300</v>
      </c>
      <c r="CR27" s="5">
        <v>64.77</v>
      </c>
      <c r="CS27" s="5">
        <v>71.97</v>
      </c>
      <c r="CT27" s="5">
        <v>474</v>
      </c>
      <c r="CU27" s="5">
        <v>93.56</v>
      </c>
      <c r="CV27" s="5">
        <v>3694</v>
      </c>
      <c r="CW27" s="5">
        <v>33942.769999999997</v>
      </c>
      <c r="CX27" s="5">
        <v>60.47</v>
      </c>
      <c r="CY27" s="5">
        <v>64.77</v>
      </c>
      <c r="CZ27" s="5">
        <v>71.97</v>
      </c>
      <c r="DA27" s="5">
        <v>474</v>
      </c>
      <c r="DB27" s="5">
        <v>93.56</v>
      </c>
      <c r="DC27" s="5">
        <v>3694</v>
      </c>
      <c r="DD27" s="5">
        <v>33942.769999999997</v>
      </c>
      <c r="DE27" s="5">
        <v>100.73</v>
      </c>
      <c r="DF27" s="5">
        <v>853.21</v>
      </c>
      <c r="DG27" s="5">
        <v>66.91</v>
      </c>
      <c r="DH27" s="5">
        <v>71.399999999999906</v>
      </c>
      <c r="DI27" s="5">
        <v>98.41</v>
      </c>
      <c r="DJ27" s="5">
        <v>100.73</v>
      </c>
      <c r="DK27" s="5">
        <v>853.21</v>
      </c>
      <c r="DL27" s="5">
        <v>289.66199999999998</v>
      </c>
      <c r="DM27" s="5">
        <v>3175</v>
      </c>
      <c r="DN27" s="5">
        <v>66.91</v>
      </c>
      <c r="DO27" s="5">
        <v>71.399999999999906</v>
      </c>
      <c r="DP27" s="5">
        <v>98.41</v>
      </c>
    </row>
    <row r="28" spans="1:120" x14ac:dyDescent="0.35">
      <c r="B28">
        <v>2</v>
      </c>
      <c r="C28" s="11">
        <v>705.82550000000003</v>
      </c>
      <c r="D28" s="5">
        <v>4352.5</v>
      </c>
      <c r="E28" s="5">
        <v>1875</v>
      </c>
      <c r="F28" s="11">
        <v>2.3198221906116645</v>
      </c>
      <c r="G28" s="5">
        <v>281.35699999999997</v>
      </c>
      <c r="H28" s="5">
        <v>2901</v>
      </c>
      <c r="I28" s="11">
        <v>50.47</v>
      </c>
      <c r="J28" s="5">
        <v>708737.5</v>
      </c>
      <c r="K28" s="5">
        <v>151</v>
      </c>
      <c r="L28" s="11">
        <v>5.0649999999999995</v>
      </c>
      <c r="M28" s="5">
        <v>130</v>
      </c>
      <c r="N28" s="5">
        <v>35616.736675000007</v>
      </c>
      <c r="O28" s="5">
        <v>705.82550000000003</v>
      </c>
      <c r="P28" s="5">
        <v>35616.736675000007</v>
      </c>
      <c r="Q28" s="5">
        <v>195456.23667499999</v>
      </c>
      <c r="R28" s="5">
        <v>159839.5</v>
      </c>
      <c r="S28" s="5">
        <v>21911.606006397997</v>
      </c>
      <c r="T28" s="5">
        <v>0.11210000000000001</v>
      </c>
      <c r="U28" s="5">
        <v>195456.23667499999</v>
      </c>
      <c r="V28" s="5">
        <v>117667.87867600001</v>
      </c>
      <c r="W28" s="5">
        <v>3.1619999999999999E-3</v>
      </c>
      <c r="X28" s="5">
        <v>37213823</v>
      </c>
      <c r="Y28" s="5">
        <v>2215.1265000000003</v>
      </c>
      <c r="Z28" s="5">
        <v>9117</v>
      </c>
      <c r="AA28" s="5">
        <v>3402.2169999999996</v>
      </c>
      <c r="AB28" s="5">
        <v>3305.0745000000002</v>
      </c>
      <c r="AC28" s="5">
        <v>897.17699999999991</v>
      </c>
      <c r="AD28" s="5">
        <v>5.2499999999999998E-2</v>
      </c>
      <c r="AE28" s="5">
        <v>985.5385</v>
      </c>
      <c r="AF28" s="5">
        <v>1677298.5</v>
      </c>
      <c r="AG28" s="5">
        <v>35384.048620000001</v>
      </c>
      <c r="AH28" s="5">
        <v>37213823</v>
      </c>
      <c r="AI28" s="5">
        <v>117667.87867600001</v>
      </c>
      <c r="AJ28" s="5">
        <v>3305074.5</v>
      </c>
      <c r="AK28" s="5">
        <v>30069.7075</v>
      </c>
      <c r="AL28" s="5">
        <v>10010.75</v>
      </c>
      <c r="AM28" s="5">
        <v>9117</v>
      </c>
      <c r="AN28" s="5">
        <v>250.128514</v>
      </c>
      <c r="AO28" s="5">
        <v>51.615499999999997</v>
      </c>
      <c r="AP28" s="5">
        <v>3.3037358756362725</v>
      </c>
      <c r="AQ28" s="5">
        <v>30802.459000000003</v>
      </c>
      <c r="AR28" s="5">
        <v>195</v>
      </c>
      <c r="AS28" s="5">
        <v>4600</v>
      </c>
      <c r="AT28" s="5">
        <v>10929.5</v>
      </c>
      <c r="AU28" s="5">
        <v>50527600</v>
      </c>
      <c r="AV28" s="5">
        <v>599230.5</v>
      </c>
      <c r="AW28" s="5">
        <v>35384.048620000001</v>
      </c>
      <c r="AX28" s="5">
        <v>30069.7075</v>
      </c>
      <c r="AY28" s="5">
        <v>5314.341120000001</v>
      </c>
      <c r="AZ28" s="5">
        <v>4961.1499999999996</v>
      </c>
      <c r="BA28" s="5">
        <v>8266.5</v>
      </c>
      <c r="BB28" s="5">
        <v>8792</v>
      </c>
      <c r="BC28" s="5">
        <v>4352.5</v>
      </c>
      <c r="BD28" s="52" t="s">
        <v>349</v>
      </c>
      <c r="BE28" s="5">
        <v>8266.5</v>
      </c>
      <c r="BF28" s="5">
        <v>985.5385</v>
      </c>
      <c r="BG28" s="5">
        <v>325</v>
      </c>
      <c r="BH28" s="5">
        <v>325</v>
      </c>
      <c r="BI28" s="5">
        <v>8792</v>
      </c>
      <c r="BJ28" s="5">
        <v>4961.1499999999996</v>
      </c>
      <c r="BK28" s="5">
        <v>3599</v>
      </c>
      <c r="BL28" s="5">
        <v>985.5385</v>
      </c>
      <c r="BM28" s="5">
        <v>3721596.5</v>
      </c>
      <c r="BN28" s="5">
        <v>4570</v>
      </c>
      <c r="BO28" s="5">
        <v>35616.736675000007</v>
      </c>
      <c r="BP28" s="5">
        <v>159839.5</v>
      </c>
      <c r="BQ28" s="5">
        <v>195456.23667499999</v>
      </c>
      <c r="BR28" s="5">
        <v>3305.0745000000002</v>
      </c>
      <c r="BS28" s="5">
        <v>3721596.5</v>
      </c>
      <c r="BT28" s="5">
        <v>3661458</v>
      </c>
      <c r="BU28" s="5">
        <v>0.1503539492502047</v>
      </c>
      <c r="BV28" s="5" t="s">
        <v>349</v>
      </c>
      <c r="BW28" s="5">
        <v>325</v>
      </c>
      <c r="BX28" s="5">
        <v>35616.736675000007</v>
      </c>
      <c r="BY28" s="5">
        <v>159839.5</v>
      </c>
      <c r="BZ28" s="5">
        <v>195456.23667499999</v>
      </c>
      <c r="CA28" s="5">
        <v>4455.6075000000001</v>
      </c>
      <c r="CB28" s="5">
        <v>17177.185000000001</v>
      </c>
      <c r="CC28" s="5">
        <v>3242.75</v>
      </c>
      <c r="CD28" s="5">
        <v>50500</v>
      </c>
      <c r="CE28" s="5">
        <v>288347.5</v>
      </c>
      <c r="CF28" s="5">
        <v>18787075</v>
      </c>
      <c r="CG28" s="5">
        <v>46.760000000000005</v>
      </c>
      <c r="CH28" s="5">
        <v>1430555.5</v>
      </c>
      <c r="CI28" s="5">
        <v>160</v>
      </c>
      <c r="CJ28" s="5">
        <v>3242750</v>
      </c>
      <c r="CK28" s="5">
        <v>50500</v>
      </c>
      <c r="CL28" s="5">
        <v>288347.5</v>
      </c>
      <c r="CM28" s="5">
        <v>1677298.5</v>
      </c>
      <c r="CN28" s="43">
        <v>-1647228.7925</v>
      </c>
      <c r="CO28" s="5">
        <v>1809223</v>
      </c>
      <c r="CP28" s="5">
        <v>0</v>
      </c>
      <c r="CQ28" s="5">
        <v>4350</v>
      </c>
      <c r="CR28" s="5">
        <v>62.22</v>
      </c>
      <c r="CS28" s="5">
        <v>72.17</v>
      </c>
      <c r="CT28" s="5">
        <v>463</v>
      </c>
      <c r="CU28" s="5">
        <v>93.73</v>
      </c>
      <c r="CV28" s="5">
        <v>3658.5</v>
      </c>
      <c r="CW28" s="5">
        <v>33663.214999999997</v>
      </c>
      <c r="CX28" s="5">
        <v>62.62</v>
      </c>
      <c r="CY28" s="5">
        <v>62.22</v>
      </c>
      <c r="CZ28" s="5">
        <v>72.17</v>
      </c>
      <c r="DA28" s="5">
        <v>463</v>
      </c>
      <c r="DB28" s="5">
        <v>93.73</v>
      </c>
      <c r="DC28" s="5">
        <v>3658.5</v>
      </c>
      <c r="DD28" s="5">
        <v>33663.214999999997</v>
      </c>
      <c r="DE28" s="5">
        <v>101.155</v>
      </c>
      <c r="DF28" s="5">
        <v>858.5150000000001</v>
      </c>
      <c r="DG28" s="5">
        <v>67.039999999999992</v>
      </c>
      <c r="DH28" s="5">
        <v>71.559999999999903</v>
      </c>
      <c r="DI28" s="5">
        <v>99.57</v>
      </c>
      <c r="DJ28" s="5">
        <v>101.155</v>
      </c>
      <c r="DK28" s="5">
        <v>858.5150000000001</v>
      </c>
      <c r="DL28" s="5">
        <v>281.35699999999997</v>
      </c>
      <c r="DM28" s="5">
        <v>2901</v>
      </c>
      <c r="DN28" s="5">
        <v>67.039999999999992</v>
      </c>
      <c r="DO28" s="5">
        <v>71.559999999999903</v>
      </c>
      <c r="DP28" s="5">
        <v>99.57</v>
      </c>
    </row>
    <row r="29" spans="1:120" x14ac:dyDescent="0.35">
      <c r="A29">
        <v>2013</v>
      </c>
      <c r="B29">
        <v>1</v>
      </c>
      <c r="C29" s="11">
        <v>697.34400000000005</v>
      </c>
      <c r="D29" s="5">
        <v>4623</v>
      </c>
      <c r="E29" s="5">
        <v>1900</v>
      </c>
      <c r="F29" s="11">
        <v>2.433157894736842</v>
      </c>
      <c r="G29" s="5">
        <v>273.05200000000002</v>
      </c>
      <c r="H29" s="5">
        <v>2627</v>
      </c>
      <c r="I29" s="6">
        <v>51.21</v>
      </c>
      <c r="J29" s="5">
        <v>714307</v>
      </c>
      <c r="K29" s="5">
        <v>167</v>
      </c>
      <c r="L29">
        <v>5.37</v>
      </c>
      <c r="M29" s="5">
        <v>135</v>
      </c>
      <c r="N29" s="5">
        <v>35710.986240000006</v>
      </c>
      <c r="O29" s="5">
        <v>697.34400000000005</v>
      </c>
      <c r="P29" s="5">
        <v>35710.986240000006</v>
      </c>
      <c r="Q29" s="5">
        <v>192249.98624</v>
      </c>
      <c r="R29" s="5">
        <v>156539</v>
      </c>
      <c r="S29" s="5">
        <v>21493.548461631999</v>
      </c>
      <c r="T29" s="5">
        <v>0.1118</v>
      </c>
      <c r="U29" s="5">
        <v>192249.98624</v>
      </c>
      <c r="V29" s="5">
        <v>116439.283752</v>
      </c>
      <c r="W29" s="5">
        <v>3.124E-3</v>
      </c>
      <c r="X29" s="5">
        <v>37272498</v>
      </c>
      <c r="Y29" s="5">
        <v>2109.4760000000001</v>
      </c>
      <c r="Z29" s="5">
        <v>9391</v>
      </c>
      <c r="AA29" s="5">
        <v>3431.6149999999998</v>
      </c>
      <c r="AB29" s="5">
        <v>3284.4270000000001</v>
      </c>
      <c r="AC29" s="5">
        <v>308.72699999999998</v>
      </c>
      <c r="AD29" s="5">
        <v>5.2999999999999999E-2</v>
      </c>
      <c r="AE29" s="5">
        <v>999.60379999999998</v>
      </c>
      <c r="AF29" s="5">
        <v>2320777</v>
      </c>
      <c r="AG29" s="5">
        <v>35136.310310000001</v>
      </c>
      <c r="AH29" s="5">
        <v>37272498</v>
      </c>
      <c r="AI29" s="5">
        <v>116439.283752</v>
      </c>
      <c r="AJ29" s="5">
        <v>3284427</v>
      </c>
      <c r="AK29" s="5">
        <v>30712.538</v>
      </c>
      <c r="AL29" s="5">
        <v>10632.9</v>
      </c>
      <c r="AM29" s="5">
        <v>9391</v>
      </c>
      <c r="AN29" s="5">
        <v>251.80531400000001</v>
      </c>
      <c r="AO29" s="5">
        <v>51.954999999999998</v>
      </c>
      <c r="AP29" s="5">
        <v>3.3038437748886547</v>
      </c>
      <c r="AQ29" s="5">
        <v>29426.877</v>
      </c>
      <c r="AR29" s="5">
        <v>258</v>
      </c>
      <c r="AS29" s="5">
        <v>4800</v>
      </c>
      <c r="AT29" s="5">
        <v>12189</v>
      </c>
      <c r="AU29" s="5">
        <v>58507200</v>
      </c>
      <c r="AV29" s="5">
        <v>117350</v>
      </c>
      <c r="AW29" s="5">
        <v>35136.310310000001</v>
      </c>
      <c r="AX29" s="5">
        <v>30712.538</v>
      </c>
      <c r="AY29" s="5">
        <v>4423.7723100000003</v>
      </c>
      <c r="AZ29" s="5">
        <v>5228</v>
      </c>
      <c r="BA29" s="5">
        <v>8643</v>
      </c>
      <c r="BB29" s="5">
        <v>8941</v>
      </c>
      <c r="BC29" s="5">
        <v>4623</v>
      </c>
      <c r="BD29" s="52" t="s">
        <v>350</v>
      </c>
      <c r="BE29" s="5">
        <v>8643</v>
      </c>
      <c r="BF29" s="5">
        <v>999.60379999999998</v>
      </c>
      <c r="BG29" s="5">
        <v>450</v>
      </c>
      <c r="BH29" s="5">
        <v>450</v>
      </c>
      <c r="BI29" s="5">
        <v>8941</v>
      </c>
      <c r="BJ29" s="5">
        <v>5228</v>
      </c>
      <c r="BK29" s="5">
        <v>3829</v>
      </c>
      <c r="BL29" s="5">
        <v>999.60379999999998</v>
      </c>
      <c r="BM29" s="5">
        <v>3727680</v>
      </c>
      <c r="BN29" s="5">
        <v>4854</v>
      </c>
      <c r="BO29" s="5">
        <v>35710.986240000006</v>
      </c>
      <c r="BP29" s="5">
        <v>156539</v>
      </c>
      <c r="BQ29" s="5">
        <v>192249.98624</v>
      </c>
      <c r="BR29" s="5">
        <v>3284.4270000000001</v>
      </c>
      <c r="BS29" s="5">
        <v>3727680</v>
      </c>
      <c r="BT29" s="5">
        <v>3715513</v>
      </c>
      <c r="BU29" s="5">
        <v>0.26994550834223718</v>
      </c>
      <c r="BV29" s="5" t="s">
        <v>350</v>
      </c>
      <c r="BW29" s="5">
        <v>450</v>
      </c>
      <c r="BX29" s="5">
        <v>35710.986240000006</v>
      </c>
      <c r="BY29" s="5">
        <v>156539</v>
      </c>
      <c r="BZ29" s="5">
        <v>192249.98624</v>
      </c>
      <c r="CA29" s="5">
        <v>4710.8370000000004</v>
      </c>
      <c r="CB29" s="5">
        <v>16879.381000000001</v>
      </c>
      <c r="CC29" s="5">
        <v>3211.5</v>
      </c>
      <c r="CD29" s="5">
        <v>56000</v>
      </c>
      <c r="CE29" s="5">
        <v>287600</v>
      </c>
      <c r="CF29" s="5">
        <v>18736112</v>
      </c>
      <c r="CG29" s="5">
        <v>50.5</v>
      </c>
      <c r="CH29" s="5">
        <v>1366667</v>
      </c>
      <c r="CI29" s="5">
        <v>180</v>
      </c>
      <c r="CJ29" s="5">
        <v>3211500</v>
      </c>
      <c r="CK29" s="5">
        <v>56000</v>
      </c>
      <c r="CL29" s="5">
        <v>287600</v>
      </c>
      <c r="CM29" s="5">
        <v>2320777</v>
      </c>
      <c r="CN29" s="43">
        <v>-2290064.4619999998</v>
      </c>
      <c r="CO29" s="5">
        <v>1485627</v>
      </c>
      <c r="CP29" s="5">
        <v>0</v>
      </c>
      <c r="CQ29" s="5">
        <v>4400</v>
      </c>
      <c r="CR29" s="5">
        <v>59.67</v>
      </c>
      <c r="CS29" s="5">
        <v>72.37</v>
      </c>
      <c r="CT29" s="5">
        <v>452</v>
      </c>
      <c r="CU29" s="5">
        <v>93.9</v>
      </c>
      <c r="CV29" s="5">
        <v>3623</v>
      </c>
      <c r="CW29" s="5">
        <v>33383.660000000003</v>
      </c>
      <c r="CX29" s="5">
        <v>64.77</v>
      </c>
      <c r="CY29" s="5">
        <v>59.67</v>
      </c>
      <c r="CZ29" s="5">
        <v>72.37</v>
      </c>
      <c r="DA29" s="5">
        <v>452</v>
      </c>
      <c r="DB29" s="5">
        <v>93.9</v>
      </c>
      <c r="DC29" s="5">
        <v>3623</v>
      </c>
      <c r="DD29" s="5">
        <v>33383.660000000003</v>
      </c>
      <c r="DE29" s="5">
        <v>101.58</v>
      </c>
      <c r="DF29" s="5">
        <v>863.82</v>
      </c>
      <c r="DG29" s="5">
        <v>67.17</v>
      </c>
      <c r="DH29" s="5">
        <v>71.719999999999899</v>
      </c>
      <c r="DI29" s="5">
        <v>100.73</v>
      </c>
      <c r="DJ29" s="5">
        <v>101.58</v>
      </c>
      <c r="DK29" s="5">
        <v>863.82</v>
      </c>
      <c r="DL29" s="5">
        <v>273.05200000000002</v>
      </c>
      <c r="DM29" s="5">
        <v>2627</v>
      </c>
      <c r="DN29" s="5">
        <v>67.17</v>
      </c>
      <c r="DO29" s="5">
        <v>71.719999999999899</v>
      </c>
      <c r="DP29" s="5">
        <v>100.73</v>
      </c>
    </row>
    <row r="30" spans="1:120" x14ac:dyDescent="0.35">
      <c r="B30">
        <v>2</v>
      </c>
      <c r="C30" s="11">
        <v>687.03400000000011</v>
      </c>
      <c r="D30" s="5">
        <v>4780.5</v>
      </c>
      <c r="E30" s="5">
        <v>1925</v>
      </c>
      <c r="F30" s="11">
        <v>2.4827327935222669</v>
      </c>
      <c r="G30" s="5">
        <v>272.40899999999999</v>
      </c>
      <c r="H30" s="5">
        <v>2387.5</v>
      </c>
      <c r="I30" s="11">
        <v>51.394999999999996</v>
      </c>
      <c r="J30" s="5">
        <v>705825.5</v>
      </c>
      <c r="K30" s="5">
        <v>159</v>
      </c>
      <c r="L30" s="11">
        <v>5.79</v>
      </c>
      <c r="M30" s="5">
        <v>151</v>
      </c>
      <c r="N30" s="5">
        <v>35308.20508</v>
      </c>
      <c r="O30" s="5">
        <v>687.03400000000011</v>
      </c>
      <c r="P30" s="5">
        <v>35308.20508</v>
      </c>
      <c r="Q30" s="5">
        <v>183839.20507999999</v>
      </c>
      <c r="R30" s="5">
        <v>148531</v>
      </c>
      <c r="S30" s="5">
        <v>20719.880130668</v>
      </c>
      <c r="T30" s="5">
        <v>0.11274999999999999</v>
      </c>
      <c r="U30" s="5">
        <v>183839.20507999999</v>
      </c>
      <c r="V30" s="5">
        <v>114535.2474503</v>
      </c>
      <c r="W30" s="5">
        <v>3.1129499999999997E-3</v>
      </c>
      <c r="X30" s="5">
        <v>36791446</v>
      </c>
      <c r="Y30" s="5">
        <v>1864.6534999999999</v>
      </c>
      <c r="Z30" s="5">
        <v>9749.5</v>
      </c>
      <c r="AA30" s="5">
        <v>3103.2420000000002</v>
      </c>
      <c r="AB30" s="5">
        <v>2743.681</v>
      </c>
      <c r="AC30" s="5">
        <v>291.86199999999997</v>
      </c>
      <c r="AD30" s="5">
        <v>5.45E-2</v>
      </c>
      <c r="AE30" s="5">
        <v>1047.7221999999999</v>
      </c>
      <c r="AF30" s="5">
        <v>2215126.5</v>
      </c>
      <c r="AG30" s="5">
        <v>34706.661120000004</v>
      </c>
      <c r="AH30" s="5">
        <v>36791446</v>
      </c>
      <c r="AI30" s="5">
        <v>114535.2474503</v>
      </c>
      <c r="AJ30" s="5">
        <v>2743681</v>
      </c>
      <c r="AK30" s="5">
        <v>32077.205000000002</v>
      </c>
      <c r="AL30" s="5">
        <v>10995.15</v>
      </c>
      <c r="AM30" s="5">
        <v>9749.5</v>
      </c>
      <c r="AN30" s="5">
        <v>253.46669500000002</v>
      </c>
      <c r="AO30" s="5">
        <v>52.295000000000002</v>
      </c>
      <c r="AP30" s="5">
        <v>3.3039516205531267</v>
      </c>
      <c r="AQ30" s="5">
        <v>30069.7075</v>
      </c>
      <c r="AR30" s="5">
        <v>263.5</v>
      </c>
      <c r="AS30" s="5">
        <v>5250</v>
      </c>
      <c r="AT30" s="5">
        <v>12314.5</v>
      </c>
      <c r="AU30" s="5">
        <v>64707600</v>
      </c>
      <c r="AV30" s="5">
        <v>-422377</v>
      </c>
      <c r="AW30" s="5">
        <v>34706.661120000004</v>
      </c>
      <c r="AX30" s="5">
        <v>32077.205000000002</v>
      </c>
      <c r="AY30" s="5">
        <v>2629.4561199999989</v>
      </c>
      <c r="AZ30" s="5">
        <v>5278</v>
      </c>
      <c r="BA30" s="5">
        <v>8792</v>
      </c>
      <c r="BB30" s="5">
        <v>9289.5</v>
      </c>
      <c r="BC30" s="5">
        <v>4780.5</v>
      </c>
      <c r="BD30" s="52" t="s">
        <v>350</v>
      </c>
      <c r="BE30" s="5">
        <v>8792</v>
      </c>
      <c r="BF30" s="5">
        <v>1047.7221999999999</v>
      </c>
      <c r="BG30" s="5">
        <v>460</v>
      </c>
      <c r="BH30" s="5">
        <v>460</v>
      </c>
      <c r="BI30" s="5">
        <v>9289.5</v>
      </c>
      <c r="BJ30" s="5">
        <v>5278</v>
      </c>
      <c r="BK30" s="5">
        <v>3963</v>
      </c>
      <c r="BL30" s="5">
        <v>1047.7221999999999</v>
      </c>
      <c r="BM30" s="5">
        <v>3679359.5</v>
      </c>
      <c r="BN30" s="5">
        <v>5019</v>
      </c>
      <c r="BO30" s="5">
        <v>35308.20508</v>
      </c>
      <c r="BP30" s="5">
        <v>148531</v>
      </c>
      <c r="BQ30" s="5">
        <v>183839.20507999999</v>
      </c>
      <c r="BR30" s="5">
        <v>2743.681</v>
      </c>
      <c r="BS30" s="5">
        <v>3679359.5</v>
      </c>
      <c r="BT30" s="5">
        <v>3721596.5</v>
      </c>
      <c r="BU30" s="5">
        <v>0.12357523655437208</v>
      </c>
      <c r="BV30" s="5" t="s">
        <v>350</v>
      </c>
      <c r="BW30" s="5">
        <v>460</v>
      </c>
      <c r="BX30" s="5">
        <v>35308.20508</v>
      </c>
      <c r="BY30" s="5">
        <v>148531</v>
      </c>
      <c r="BZ30" s="5">
        <v>183839.20507999999</v>
      </c>
      <c r="CA30" s="5">
        <v>4851.5775000000003</v>
      </c>
      <c r="CB30" s="5">
        <v>16928.809500000003</v>
      </c>
      <c r="CC30" s="5">
        <v>3221.5</v>
      </c>
      <c r="CD30" s="5">
        <v>65000</v>
      </c>
      <c r="CE30" s="5">
        <v>318128</v>
      </c>
      <c r="CF30" s="5">
        <v>18035446</v>
      </c>
      <c r="CG30" s="5">
        <v>49.685000000000002</v>
      </c>
      <c r="CH30" s="5">
        <v>1441667</v>
      </c>
      <c r="CI30" s="5">
        <v>167.5</v>
      </c>
      <c r="CJ30" s="5">
        <v>3221500</v>
      </c>
      <c r="CK30" s="5">
        <v>65000</v>
      </c>
      <c r="CL30" s="5">
        <v>318128</v>
      </c>
      <c r="CM30" s="5">
        <v>2215126.5</v>
      </c>
      <c r="CN30" s="43">
        <v>-2183049.2949999999</v>
      </c>
      <c r="CO30" s="5">
        <v>897177</v>
      </c>
      <c r="CP30" s="5">
        <v>0</v>
      </c>
      <c r="CQ30" s="5">
        <v>4600</v>
      </c>
      <c r="CR30" s="5">
        <v>57.46</v>
      </c>
      <c r="CS30" s="5">
        <v>73.37</v>
      </c>
      <c r="CT30" s="5">
        <v>495</v>
      </c>
      <c r="CU30" s="5">
        <v>93.974999999999994</v>
      </c>
      <c r="CV30" s="5">
        <v>3557</v>
      </c>
      <c r="CW30" s="5">
        <v>35052.845000000001</v>
      </c>
      <c r="CX30" s="5">
        <v>62.22</v>
      </c>
      <c r="CY30" s="5">
        <v>57.46</v>
      </c>
      <c r="CZ30" s="5">
        <v>73.37</v>
      </c>
      <c r="DA30" s="5">
        <v>495</v>
      </c>
      <c r="DB30" s="5">
        <v>93.974999999999994</v>
      </c>
      <c r="DC30" s="5">
        <v>3557</v>
      </c>
      <c r="DD30" s="5">
        <v>35052.845000000001</v>
      </c>
      <c r="DE30" s="5">
        <v>103.55</v>
      </c>
      <c r="DF30" s="5">
        <v>873.87</v>
      </c>
      <c r="DG30" s="5">
        <v>67.045000000000002</v>
      </c>
      <c r="DH30" s="5">
        <v>71.87999999999991</v>
      </c>
      <c r="DI30" s="5">
        <v>101.155</v>
      </c>
      <c r="DJ30" s="5">
        <v>103.55</v>
      </c>
      <c r="DK30" s="5">
        <v>873.87</v>
      </c>
      <c r="DL30" s="5">
        <v>272.40899999999999</v>
      </c>
      <c r="DM30" s="5">
        <v>2387.5</v>
      </c>
      <c r="DN30" s="5">
        <v>67.045000000000002</v>
      </c>
      <c r="DO30" s="5">
        <v>71.87999999999991</v>
      </c>
      <c r="DP30" s="5">
        <v>101.155</v>
      </c>
    </row>
    <row r="31" spans="1:120" x14ac:dyDescent="0.35">
      <c r="A31">
        <v>2014</v>
      </c>
      <c r="B31">
        <v>1</v>
      </c>
      <c r="C31" s="11">
        <v>676.72400000000005</v>
      </c>
      <c r="D31" s="5">
        <v>4938</v>
      </c>
      <c r="E31" s="5">
        <v>1950</v>
      </c>
      <c r="F31" s="11">
        <v>2.5323076923076924</v>
      </c>
      <c r="G31" s="5">
        <v>271.76600000000002</v>
      </c>
      <c r="H31" s="5">
        <v>2148</v>
      </c>
      <c r="I31" s="6">
        <v>51.58</v>
      </c>
      <c r="J31" s="5">
        <v>697344</v>
      </c>
      <c r="K31" s="5">
        <v>151</v>
      </c>
      <c r="L31">
        <v>6.21</v>
      </c>
      <c r="M31" s="5">
        <v>167</v>
      </c>
      <c r="N31" s="5">
        <v>34905.423920000001</v>
      </c>
      <c r="O31" s="5">
        <v>676.72400000000005</v>
      </c>
      <c r="P31" s="5">
        <v>34905.423920000001</v>
      </c>
      <c r="Q31" s="5">
        <v>175428.42392</v>
      </c>
      <c r="R31" s="5">
        <v>140523</v>
      </c>
      <c r="S31" s="5">
        <v>19946.211799704</v>
      </c>
      <c r="T31" s="5">
        <v>0.1137</v>
      </c>
      <c r="U31" s="5">
        <v>175428.42392</v>
      </c>
      <c r="V31" s="5">
        <v>112631.21114859999</v>
      </c>
      <c r="W31" s="5">
        <v>3.1018999999999999E-3</v>
      </c>
      <c r="X31" s="5">
        <v>36310394</v>
      </c>
      <c r="Y31" s="5">
        <v>1619.8309999999999</v>
      </c>
      <c r="Z31" s="5">
        <v>10108</v>
      </c>
      <c r="AA31" s="5">
        <v>2774.8690000000001</v>
      </c>
      <c r="AB31" s="5">
        <v>2202.9349999999999</v>
      </c>
      <c r="AC31" s="5">
        <v>274.99700000000001</v>
      </c>
      <c r="AD31" s="5">
        <v>5.6000000000000001E-2</v>
      </c>
      <c r="AE31" s="5">
        <v>1095.8406</v>
      </c>
      <c r="AF31" s="5">
        <v>2109476</v>
      </c>
      <c r="AG31" s="5">
        <v>34277.011930000001</v>
      </c>
      <c r="AH31" s="5">
        <v>36310394</v>
      </c>
      <c r="AI31" s="5">
        <v>112631.21114859999</v>
      </c>
      <c r="AJ31" s="5">
        <v>2202935</v>
      </c>
      <c r="AK31" s="5">
        <v>33441.872000000003</v>
      </c>
      <c r="AL31" s="5">
        <v>11357.4</v>
      </c>
      <c r="AM31" s="5">
        <v>10108</v>
      </c>
      <c r="AN31" s="5">
        <v>255.12807599999999</v>
      </c>
      <c r="AO31" s="5">
        <v>52.634999999999998</v>
      </c>
      <c r="AP31" s="5">
        <v>3.3040594662175993</v>
      </c>
      <c r="AQ31" s="5">
        <v>30712.538</v>
      </c>
      <c r="AR31" s="5">
        <v>269</v>
      </c>
      <c r="AS31" s="5">
        <v>5700</v>
      </c>
      <c r="AT31" s="5">
        <v>12440</v>
      </c>
      <c r="AU31" s="5">
        <v>70908000</v>
      </c>
      <c r="AV31" s="5">
        <v>-962104</v>
      </c>
      <c r="AW31" s="5">
        <v>34277.011930000001</v>
      </c>
      <c r="AX31" s="5">
        <v>33441.872000000003</v>
      </c>
      <c r="AY31" s="5">
        <v>835.13992999999755</v>
      </c>
      <c r="AZ31" s="5">
        <v>5328</v>
      </c>
      <c r="BA31" s="5">
        <v>8941</v>
      </c>
      <c r="BB31" s="5">
        <v>9638</v>
      </c>
      <c r="BC31" s="5">
        <v>4938</v>
      </c>
      <c r="BD31" s="52" t="s">
        <v>351</v>
      </c>
      <c r="BE31" s="5">
        <v>8941</v>
      </c>
      <c r="BF31" s="5">
        <v>1095.8406</v>
      </c>
      <c r="BG31" s="5">
        <v>470</v>
      </c>
      <c r="BH31" s="5">
        <v>470</v>
      </c>
      <c r="BI31" s="5">
        <v>9638</v>
      </c>
      <c r="BJ31" s="5">
        <v>5328</v>
      </c>
      <c r="BK31" s="5">
        <v>4097</v>
      </c>
      <c r="BL31" s="5">
        <v>1095.8406</v>
      </c>
      <c r="BM31" s="5">
        <v>3631039</v>
      </c>
      <c r="BN31" s="5">
        <v>5184</v>
      </c>
      <c r="BO31" s="5">
        <v>34905.423920000001</v>
      </c>
      <c r="BP31" s="5">
        <v>140523</v>
      </c>
      <c r="BQ31" s="5">
        <v>175428.42392</v>
      </c>
      <c r="BR31" s="5">
        <v>2202.9349999999999</v>
      </c>
      <c r="BS31" s="5">
        <v>3631039</v>
      </c>
      <c r="BT31" s="5">
        <v>3727680</v>
      </c>
      <c r="BU31" s="5">
        <v>-2.2795035233493029E-2</v>
      </c>
      <c r="BV31" s="5" t="s">
        <v>351</v>
      </c>
      <c r="BW31" s="5">
        <v>470</v>
      </c>
      <c r="BX31" s="5">
        <v>34905.423920000001</v>
      </c>
      <c r="BY31" s="5">
        <v>140523</v>
      </c>
      <c r="BZ31" s="5">
        <v>175428.42392</v>
      </c>
      <c r="CA31" s="5">
        <v>4992.3180000000002</v>
      </c>
      <c r="CB31" s="5">
        <v>16978.238000000001</v>
      </c>
      <c r="CC31" s="5">
        <v>3231.5</v>
      </c>
      <c r="CD31" s="5">
        <v>74000</v>
      </c>
      <c r="CE31" s="5">
        <v>348656</v>
      </c>
      <c r="CF31" s="5">
        <v>17334780</v>
      </c>
      <c r="CG31" s="5">
        <v>48.87</v>
      </c>
      <c r="CH31" s="5">
        <v>1516667</v>
      </c>
      <c r="CI31" s="5">
        <v>155</v>
      </c>
      <c r="CJ31" s="5">
        <v>3231500</v>
      </c>
      <c r="CK31" s="5">
        <v>74000</v>
      </c>
      <c r="CL31" s="5">
        <v>348656</v>
      </c>
      <c r="CM31" s="5">
        <v>2109476</v>
      </c>
      <c r="CN31" s="43">
        <v>-2076034.128</v>
      </c>
      <c r="CO31" s="5">
        <v>308727</v>
      </c>
      <c r="CP31" s="5">
        <v>0</v>
      </c>
      <c r="CQ31" s="5">
        <v>4800</v>
      </c>
      <c r="CR31" s="5">
        <v>55.25</v>
      </c>
      <c r="CS31" s="5">
        <v>74.37</v>
      </c>
      <c r="CT31" s="5">
        <v>538</v>
      </c>
      <c r="CU31" s="5">
        <v>94.05</v>
      </c>
      <c r="CV31" s="5">
        <v>3491</v>
      </c>
      <c r="CW31" s="5">
        <v>36722.03</v>
      </c>
      <c r="CX31" s="5">
        <v>59.67</v>
      </c>
      <c r="CY31" s="5">
        <v>55.25</v>
      </c>
      <c r="CZ31" s="5">
        <v>74.37</v>
      </c>
      <c r="DA31" s="5">
        <v>538</v>
      </c>
      <c r="DB31" s="5">
        <v>94.05</v>
      </c>
      <c r="DC31" s="5">
        <v>3491</v>
      </c>
      <c r="DD31" s="5">
        <v>36722.03</v>
      </c>
      <c r="DE31" s="5">
        <v>105.52</v>
      </c>
      <c r="DF31" s="5">
        <v>883.92</v>
      </c>
      <c r="DG31" s="5">
        <v>66.92</v>
      </c>
      <c r="DH31" s="5">
        <v>72.039999999999907</v>
      </c>
      <c r="DI31" s="5">
        <v>101.58</v>
      </c>
      <c r="DJ31" s="5">
        <v>105.52</v>
      </c>
      <c r="DK31" s="5">
        <v>883.92</v>
      </c>
      <c r="DL31" s="5">
        <v>271.76600000000002</v>
      </c>
      <c r="DM31" s="5">
        <v>2148</v>
      </c>
      <c r="DN31" s="5">
        <v>66.92</v>
      </c>
      <c r="DO31" s="5">
        <v>72.039999999999907</v>
      </c>
      <c r="DP31" s="5">
        <v>101.58</v>
      </c>
    </row>
    <row r="32" spans="1:120" x14ac:dyDescent="0.35">
      <c r="B32">
        <v>2</v>
      </c>
      <c r="C32" s="11">
        <v>704.26750000000004</v>
      </c>
      <c r="D32" s="5">
        <v>5050.5</v>
      </c>
      <c r="E32" s="5">
        <v>1950</v>
      </c>
      <c r="F32" s="11">
        <v>2.59</v>
      </c>
      <c r="G32" s="5">
        <v>267.85450000000003</v>
      </c>
      <c r="H32" s="5">
        <v>1561.95</v>
      </c>
      <c r="I32" s="11">
        <v>52.224999999999994</v>
      </c>
      <c r="J32" s="5">
        <v>687034</v>
      </c>
      <c r="K32" s="5">
        <v>137</v>
      </c>
      <c r="L32" s="11">
        <v>6.9700000000000006</v>
      </c>
      <c r="M32" s="5">
        <v>159</v>
      </c>
      <c r="N32" s="5">
        <v>36798.135745</v>
      </c>
      <c r="O32" s="5">
        <v>704.26750000000004</v>
      </c>
      <c r="P32" s="5">
        <v>36798.135745</v>
      </c>
      <c r="Q32" s="5">
        <v>195034.13574499998</v>
      </c>
      <c r="R32" s="5">
        <v>158236</v>
      </c>
      <c r="S32" s="5">
        <v>22497.341005561499</v>
      </c>
      <c r="T32" s="5">
        <v>0.1152</v>
      </c>
      <c r="U32" s="5">
        <v>195034.13574499998</v>
      </c>
      <c r="V32" s="5">
        <v>117513.87893529999</v>
      </c>
      <c r="W32" s="5">
        <v>3.0639500000000002E-3</v>
      </c>
      <c r="X32" s="5">
        <v>38379345.5</v>
      </c>
      <c r="Y32" s="5">
        <v>1619.8305</v>
      </c>
      <c r="Z32" s="5">
        <v>10751.5</v>
      </c>
      <c r="AA32" s="5">
        <v>2988.4454999999998</v>
      </c>
      <c r="AB32" s="5">
        <v>2030.7049999999999</v>
      </c>
      <c r="AC32" s="5">
        <v>460.04200000000003</v>
      </c>
      <c r="AD32" s="5">
        <v>5.5E-2</v>
      </c>
      <c r="AE32" s="5">
        <v>1184.8105500000001</v>
      </c>
      <c r="AF32" s="5">
        <v>1864653.5</v>
      </c>
      <c r="AG32" s="5">
        <v>36493.016075</v>
      </c>
      <c r="AH32" s="5">
        <v>38379345.5</v>
      </c>
      <c r="AI32" s="5">
        <v>117513.87893529999</v>
      </c>
      <c r="AJ32" s="5">
        <v>2030705</v>
      </c>
      <c r="AK32" s="5">
        <v>34821.548500000004</v>
      </c>
      <c r="AL32" s="5">
        <v>11616.15</v>
      </c>
      <c r="AM32" s="5">
        <v>10751.5</v>
      </c>
      <c r="AN32" s="5">
        <v>256.75566650000002</v>
      </c>
      <c r="AO32" s="5">
        <v>52.974000000000004</v>
      </c>
      <c r="AP32" s="5">
        <v>3.3041672583473636</v>
      </c>
      <c r="AQ32" s="5">
        <v>32077.205000000002</v>
      </c>
      <c r="AR32" s="5">
        <v>272</v>
      </c>
      <c r="AS32" s="5">
        <v>6250</v>
      </c>
      <c r="AT32" s="5">
        <v>13117.5</v>
      </c>
      <c r="AU32" s="5">
        <v>82357000</v>
      </c>
      <c r="AV32" s="5">
        <v>1587899.5</v>
      </c>
      <c r="AW32" s="5">
        <v>36493.016075</v>
      </c>
      <c r="AX32" s="5">
        <v>34821.548500000004</v>
      </c>
      <c r="AY32" s="5">
        <v>1671.4675749999988</v>
      </c>
      <c r="AZ32" s="5">
        <v>5477.5</v>
      </c>
      <c r="BA32" s="5">
        <v>9289.5</v>
      </c>
      <c r="BB32" s="5">
        <v>10276.5</v>
      </c>
      <c r="BC32" s="5">
        <v>5050.5</v>
      </c>
      <c r="BD32" s="52" t="s">
        <v>351</v>
      </c>
      <c r="BE32" s="5">
        <v>9289.5</v>
      </c>
      <c r="BF32" s="5">
        <v>1184.8105500000001</v>
      </c>
      <c r="BG32" s="5">
        <v>475</v>
      </c>
      <c r="BH32" s="5">
        <v>475</v>
      </c>
      <c r="BI32" s="5">
        <v>10276.5</v>
      </c>
      <c r="BJ32" s="5">
        <v>5477.5</v>
      </c>
      <c r="BK32" s="5">
        <v>4192.5</v>
      </c>
      <c r="BL32" s="5">
        <v>1184.8105500000001</v>
      </c>
      <c r="BM32" s="5">
        <v>3837934</v>
      </c>
      <c r="BN32" s="5">
        <v>5302.5</v>
      </c>
      <c r="BO32" s="5">
        <v>36798.135745</v>
      </c>
      <c r="BP32" s="5">
        <v>158236</v>
      </c>
      <c r="BQ32" s="5">
        <v>195034.13574499998</v>
      </c>
      <c r="BR32" s="5">
        <v>2030.7049999999999</v>
      </c>
      <c r="BS32" s="5">
        <v>3837934</v>
      </c>
      <c r="BT32" s="5">
        <v>3679359.5</v>
      </c>
      <c r="BU32" s="5">
        <v>-9.1518434825238401E-3</v>
      </c>
      <c r="BV32" s="5" t="s">
        <v>351</v>
      </c>
      <c r="BW32" s="5">
        <v>475</v>
      </c>
      <c r="BX32" s="5">
        <v>36798.135745</v>
      </c>
      <c r="BY32" s="5">
        <v>158236</v>
      </c>
      <c r="BZ32" s="5">
        <v>195034.13574499998</v>
      </c>
      <c r="CA32" s="5">
        <v>5131.8705</v>
      </c>
      <c r="CB32" s="5">
        <v>17128.3145</v>
      </c>
      <c r="CC32" s="5">
        <v>3528.25</v>
      </c>
      <c r="CD32" s="5">
        <v>80500</v>
      </c>
      <c r="CE32" s="5">
        <v>315474</v>
      </c>
      <c r="CF32" s="5">
        <v>17583039.5</v>
      </c>
      <c r="CG32" s="5">
        <v>51.515000000000001</v>
      </c>
      <c r="CH32" s="5">
        <v>1730000</v>
      </c>
      <c r="CI32" s="5">
        <v>144.5</v>
      </c>
      <c r="CJ32" s="5">
        <v>3528250</v>
      </c>
      <c r="CK32" s="5">
        <v>80500</v>
      </c>
      <c r="CL32" s="5">
        <v>315474</v>
      </c>
      <c r="CM32" s="5">
        <v>1864653.5</v>
      </c>
      <c r="CN32" s="43">
        <v>-1829831.9515</v>
      </c>
      <c r="CO32" s="5">
        <v>291862</v>
      </c>
      <c r="CP32" s="5">
        <v>0</v>
      </c>
      <c r="CQ32" s="5">
        <v>5250</v>
      </c>
      <c r="CR32" s="5">
        <v>58.44</v>
      </c>
      <c r="CS32" s="5">
        <v>75.819999999999993</v>
      </c>
      <c r="CT32" s="5">
        <v>544.5</v>
      </c>
      <c r="CU32" s="5">
        <v>93.83</v>
      </c>
      <c r="CV32" s="5">
        <v>3411</v>
      </c>
      <c r="CW32" s="5">
        <v>37089.25</v>
      </c>
      <c r="CX32" s="5">
        <v>57.46</v>
      </c>
      <c r="CY32" s="5">
        <v>58.44</v>
      </c>
      <c r="CZ32" s="5">
        <v>75.819999999999993</v>
      </c>
      <c r="DA32" s="5">
        <v>544.5</v>
      </c>
      <c r="DB32" s="5">
        <v>93.83</v>
      </c>
      <c r="DC32" s="5">
        <v>3411</v>
      </c>
      <c r="DD32" s="5">
        <v>37089.25</v>
      </c>
      <c r="DE32" s="5">
        <v>102.03999999999999</v>
      </c>
      <c r="DF32" s="5">
        <v>922.52499999999998</v>
      </c>
      <c r="DG32" s="5">
        <v>67.050000000000011</v>
      </c>
      <c r="DH32" s="5">
        <v>72.199999999999903</v>
      </c>
      <c r="DI32" s="5">
        <v>103.55</v>
      </c>
      <c r="DJ32" s="5">
        <v>102.03999999999999</v>
      </c>
      <c r="DK32" s="5">
        <v>922.52499999999998</v>
      </c>
      <c r="DL32" s="5">
        <v>267.85450000000003</v>
      </c>
      <c r="DM32" s="5">
        <v>1561.95</v>
      </c>
      <c r="DN32" s="5">
        <v>67.050000000000011</v>
      </c>
      <c r="DO32" s="5">
        <v>72.199999999999903</v>
      </c>
      <c r="DP32" s="5">
        <v>103.55</v>
      </c>
    </row>
    <row r="33" spans="1:120" x14ac:dyDescent="0.35">
      <c r="A33">
        <v>2015</v>
      </c>
      <c r="B33">
        <v>1</v>
      </c>
      <c r="C33" s="11">
        <v>731.81100000000004</v>
      </c>
      <c r="D33" s="5">
        <v>5163</v>
      </c>
      <c r="E33" s="5">
        <v>1950</v>
      </c>
      <c r="F33" s="11">
        <v>2.6476923076923078</v>
      </c>
      <c r="G33" s="5">
        <v>263.94299999999998</v>
      </c>
      <c r="H33" s="5">
        <v>975.9</v>
      </c>
      <c r="I33" s="6">
        <v>52.87</v>
      </c>
      <c r="J33" s="5">
        <v>676724</v>
      </c>
      <c r="K33" s="5">
        <v>123</v>
      </c>
      <c r="L33">
        <v>7.73</v>
      </c>
      <c r="M33" s="5">
        <v>151</v>
      </c>
      <c r="N33" s="5">
        <v>38690.847569999998</v>
      </c>
      <c r="O33" s="5">
        <v>731.81100000000004</v>
      </c>
      <c r="P33" s="5">
        <v>38690.847569999998</v>
      </c>
      <c r="Q33" s="5">
        <v>214639.84756999998</v>
      </c>
      <c r="R33" s="5">
        <v>175949</v>
      </c>
      <c r="S33" s="5">
        <v>25048.470211418997</v>
      </c>
      <c r="T33" s="5">
        <v>0.1167</v>
      </c>
      <c r="U33" s="5">
        <v>214639.84756999998</v>
      </c>
      <c r="V33" s="5">
        <v>122396.546722</v>
      </c>
      <c r="W33" s="5">
        <v>3.026E-3</v>
      </c>
      <c r="X33" s="5">
        <v>40448297</v>
      </c>
      <c r="Y33" s="5">
        <v>1619.83</v>
      </c>
      <c r="Z33" s="5">
        <v>11395</v>
      </c>
      <c r="AA33" s="5">
        <v>3202.0219999999999</v>
      </c>
      <c r="AB33" s="5">
        <v>1858.4749999999999</v>
      </c>
      <c r="AC33" s="5">
        <v>645.08699999999999</v>
      </c>
      <c r="AD33" s="5">
        <v>5.3999999999999999E-2</v>
      </c>
      <c r="AE33" s="5">
        <v>1273.7805000000001</v>
      </c>
      <c r="AF33" s="5">
        <v>1619831</v>
      </c>
      <c r="AG33" s="5">
        <v>38709.020219999999</v>
      </c>
      <c r="AH33" s="5">
        <v>40448297</v>
      </c>
      <c r="AI33" s="5">
        <v>122396.546722</v>
      </c>
      <c r="AJ33" s="5">
        <v>1858475</v>
      </c>
      <c r="AK33" s="5">
        <v>36201.224999999999</v>
      </c>
      <c r="AL33" s="5">
        <v>11874.9</v>
      </c>
      <c r="AM33" s="5">
        <v>11395</v>
      </c>
      <c r="AN33" s="5">
        <v>258.38325700000001</v>
      </c>
      <c r="AO33" s="5">
        <v>53.313000000000002</v>
      </c>
      <c r="AP33" s="5">
        <v>3.3042750504771283</v>
      </c>
      <c r="AQ33" s="5">
        <v>33441.872000000003</v>
      </c>
      <c r="AR33" s="5">
        <v>275</v>
      </c>
      <c r="AS33" s="5">
        <v>6800</v>
      </c>
      <c r="AT33" s="5">
        <v>13795</v>
      </c>
      <c r="AU33" s="5">
        <v>93806000</v>
      </c>
      <c r="AV33" s="5">
        <v>4137903</v>
      </c>
      <c r="AW33" s="5">
        <v>38709.020219999999</v>
      </c>
      <c r="AX33" s="5">
        <v>36201.224999999999</v>
      </c>
      <c r="AY33" s="5">
        <v>2507.79522</v>
      </c>
      <c r="AZ33" s="5">
        <v>5627</v>
      </c>
      <c r="BA33" s="5">
        <v>9638</v>
      </c>
      <c r="BB33" s="5">
        <v>10915</v>
      </c>
      <c r="BC33" s="5">
        <v>5163</v>
      </c>
      <c r="BD33" s="52" t="s">
        <v>352</v>
      </c>
      <c r="BE33" s="5">
        <v>9638</v>
      </c>
      <c r="BF33" s="5">
        <v>1273.7805000000001</v>
      </c>
      <c r="BG33" s="5">
        <v>480</v>
      </c>
      <c r="BH33" s="5">
        <v>480</v>
      </c>
      <c r="BI33" s="5">
        <v>10915</v>
      </c>
      <c r="BJ33" s="5">
        <v>5627</v>
      </c>
      <c r="BK33" s="5">
        <v>4288</v>
      </c>
      <c r="BL33" s="5">
        <v>1273.7805000000001</v>
      </c>
      <c r="BM33" s="5">
        <v>4044829</v>
      </c>
      <c r="BN33" s="5">
        <v>5421</v>
      </c>
      <c r="BO33" s="5">
        <v>38690.847569999998</v>
      </c>
      <c r="BP33" s="5">
        <v>175949</v>
      </c>
      <c r="BQ33" s="5">
        <v>214639.84756999998</v>
      </c>
      <c r="BR33" s="5">
        <v>1858.4749999999999</v>
      </c>
      <c r="BS33" s="5">
        <v>4044829</v>
      </c>
      <c r="BT33" s="5">
        <v>3631039</v>
      </c>
      <c r="BU33" s="5">
        <v>4.4913482684453467E-3</v>
      </c>
      <c r="BV33" s="5" t="s">
        <v>352</v>
      </c>
      <c r="BW33" s="5">
        <v>480</v>
      </c>
      <c r="BX33" s="5">
        <v>38690.847569999998</v>
      </c>
      <c r="BY33" s="5">
        <v>175949</v>
      </c>
      <c r="BZ33" s="5">
        <v>214639.84756999998</v>
      </c>
      <c r="CA33" s="5">
        <v>5271.4229999999998</v>
      </c>
      <c r="CB33" s="5">
        <v>17278.391</v>
      </c>
      <c r="CC33" s="5">
        <v>3825</v>
      </c>
      <c r="CD33" s="5">
        <v>87000</v>
      </c>
      <c r="CE33" s="5">
        <v>282292</v>
      </c>
      <c r="CF33" s="5">
        <v>17831299</v>
      </c>
      <c r="CG33" s="5">
        <v>54.16</v>
      </c>
      <c r="CH33" s="5">
        <v>1943333</v>
      </c>
      <c r="CI33" s="5">
        <v>134</v>
      </c>
      <c r="CJ33" s="5">
        <v>3825000</v>
      </c>
      <c r="CK33" s="5">
        <v>87000</v>
      </c>
      <c r="CL33" s="5">
        <v>282292</v>
      </c>
      <c r="CM33" s="5">
        <v>1619831</v>
      </c>
      <c r="CN33" s="43">
        <v>-1583629.7749999999</v>
      </c>
      <c r="CO33" s="5">
        <v>274997</v>
      </c>
      <c r="CP33" s="5">
        <v>0</v>
      </c>
      <c r="CQ33" s="5">
        <v>5700</v>
      </c>
      <c r="CR33" s="5">
        <v>61.63</v>
      </c>
      <c r="CS33" s="5">
        <v>77.27</v>
      </c>
      <c r="CT33" s="5">
        <v>551</v>
      </c>
      <c r="CU33" s="5">
        <v>93.61</v>
      </c>
      <c r="CV33" s="5">
        <v>3331</v>
      </c>
      <c r="CW33" s="5">
        <v>37456.47</v>
      </c>
      <c r="CX33" s="5">
        <v>55.25</v>
      </c>
      <c r="CY33" s="5">
        <v>61.63</v>
      </c>
      <c r="CZ33" s="5">
        <v>77.27</v>
      </c>
      <c r="DA33" s="5">
        <v>551</v>
      </c>
      <c r="DB33" s="5">
        <v>93.61</v>
      </c>
      <c r="DC33" s="5">
        <v>3331</v>
      </c>
      <c r="DD33" s="5">
        <v>37456.47</v>
      </c>
      <c r="DE33" s="5">
        <v>98.56</v>
      </c>
      <c r="DF33" s="5">
        <v>961.13</v>
      </c>
      <c r="DG33" s="5">
        <v>67.180000000000007</v>
      </c>
      <c r="DH33" s="5">
        <v>72.3599999999999</v>
      </c>
      <c r="DI33" s="5">
        <v>105.52</v>
      </c>
      <c r="DJ33" s="5">
        <v>98.56</v>
      </c>
      <c r="DK33" s="5">
        <v>961.13</v>
      </c>
      <c r="DL33" s="5">
        <v>263.94299999999998</v>
      </c>
      <c r="DM33" s="5">
        <v>975.9</v>
      </c>
      <c r="DN33" s="5">
        <v>67.180000000000007</v>
      </c>
      <c r="DO33" s="5">
        <v>72.3599999999999</v>
      </c>
      <c r="DP33" s="5">
        <v>105.52</v>
      </c>
    </row>
    <row r="34" spans="1:120" x14ac:dyDescent="0.35">
      <c r="B34">
        <v>2</v>
      </c>
      <c r="C34" s="11">
        <v>779.25340000000006</v>
      </c>
      <c r="D34" s="5">
        <v>5244</v>
      </c>
      <c r="E34" s="5">
        <v>1975</v>
      </c>
      <c r="F34" s="11">
        <v>2.6550961538461539</v>
      </c>
      <c r="G34" s="5">
        <v>262.70650000000001</v>
      </c>
      <c r="H34" s="5">
        <v>1424.45</v>
      </c>
      <c r="I34" s="11">
        <v>52.97</v>
      </c>
      <c r="J34" s="5">
        <v>704267.5</v>
      </c>
      <c r="K34" s="5">
        <v>122.5</v>
      </c>
      <c r="L34" s="11">
        <v>8.129999999999999</v>
      </c>
      <c r="M34" s="5">
        <v>137</v>
      </c>
      <c r="N34" s="5">
        <v>41281.796838000002</v>
      </c>
      <c r="O34" s="5">
        <v>779.25340000000006</v>
      </c>
      <c r="P34" s="5">
        <v>41281.796838000002</v>
      </c>
      <c r="Q34" s="5">
        <v>240633.79683800001</v>
      </c>
      <c r="R34" s="5">
        <v>199352</v>
      </c>
      <c r="S34" s="5">
        <v>27935.318830636301</v>
      </c>
      <c r="T34" s="5">
        <v>0.11615</v>
      </c>
      <c r="U34" s="5">
        <v>240633.79683800001</v>
      </c>
      <c r="V34" s="5">
        <v>132321.82958000002</v>
      </c>
      <c r="W34" s="5">
        <v>3.0204000000000003E-3</v>
      </c>
      <c r="X34" s="5">
        <v>43815616</v>
      </c>
      <c r="Y34" s="5">
        <v>1472.271</v>
      </c>
      <c r="Z34" s="5">
        <v>11728</v>
      </c>
      <c r="AA34" s="5">
        <v>2992.174</v>
      </c>
      <c r="AB34" s="5">
        <v>2351.9139999999998</v>
      </c>
      <c r="AC34" s="5">
        <v>596.84100000000001</v>
      </c>
      <c r="AD34" s="5">
        <v>5.2000000000000005E-2</v>
      </c>
      <c r="AE34" s="5">
        <v>1302.22605</v>
      </c>
      <c r="AF34" s="5">
        <v>1619830.5</v>
      </c>
      <c r="AG34" s="5">
        <v>42214.642114999995</v>
      </c>
      <c r="AH34" s="5">
        <v>43815616</v>
      </c>
      <c r="AI34" s="5">
        <v>132321.82958000002</v>
      </c>
      <c r="AJ34" s="5">
        <v>2351914</v>
      </c>
      <c r="AK34" s="5">
        <v>37629.629000000001</v>
      </c>
      <c r="AL34" s="5">
        <v>12061.199999999999</v>
      </c>
      <c r="AM34" s="5">
        <v>11728</v>
      </c>
      <c r="AN34" s="5">
        <v>259.96982149999997</v>
      </c>
      <c r="AO34" s="5">
        <v>53.650999999999996</v>
      </c>
      <c r="AP34" s="5">
        <v>3.3043827891253077</v>
      </c>
      <c r="AQ34" s="5">
        <v>34821.548500000004</v>
      </c>
      <c r="AR34" s="5">
        <v>293</v>
      </c>
      <c r="AS34" s="5">
        <v>6500</v>
      </c>
      <c r="AT34" s="5">
        <v>13615.5</v>
      </c>
      <c r="AU34" s="5">
        <v>88554600</v>
      </c>
      <c r="AV34" s="5">
        <v>5436270.5</v>
      </c>
      <c r="AW34" s="5">
        <v>42214.642114999995</v>
      </c>
      <c r="AX34" s="5">
        <v>37629.629000000001</v>
      </c>
      <c r="AY34" s="5">
        <v>4585.0131149999979</v>
      </c>
      <c r="AZ34" s="5">
        <v>5875</v>
      </c>
      <c r="BA34" s="5">
        <v>10276.5</v>
      </c>
      <c r="BB34" s="5">
        <v>11213</v>
      </c>
      <c r="BC34" s="5">
        <v>5244</v>
      </c>
      <c r="BD34" s="52" t="s">
        <v>352</v>
      </c>
      <c r="BE34" s="5">
        <v>10276.5</v>
      </c>
      <c r="BF34" s="5">
        <v>1302.22605</v>
      </c>
      <c r="BG34" s="5">
        <v>515</v>
      </c>
      <c r="BH34" s="5">
        <v>515</v>
      </c>
      <c r="BI34" s="5">
        <v>11213</v>
      </c>
      <c r="BJ34" s="5">
        <v>5875</v>
      </c>
      <c r="BK34" s="5">
        <v>4357</v>
      </c>
      <c r="BL34" s="5">
        <v>1302.22605</v>
      </c>
      <c r="BM34" s="5">
        <v>4327309.95</v>
      </c>
      <c r="BN34" s="5">
        <v>5506</v>
      </c>
      <c r="BO34" s="5">
        <v>41281.796838000002</v>
      </c>
      <c r="BP34" s="5">
        <v>199352</v>
      </c>
      <c r="BQ34" s="5">
        <v>240633.79683800001</v>
      </c>
      <c r="BR34" s="5">
        <v>2351.9139999999998</v>
      </c>
      <c r="BS34" s="5">
        <v>4327309.95</v>
      </c>
      <c r="BT34" s="5">
        <v>3837934</v>
      </c>
      <c r="BU34" s="5">
        <v>4.7638554487502531E-3</v>
      </c>
      <c r="BV34" s="5" t="s">
        <v>352</v>
      </c>
      <c r="BW34" s="5">
        <v>515</v>
      </c>
      <c r="BX34" s="5">
        <v>41281.796838000002</v>
      </c>
      <c r="BY34" s="5">
        <v>199352</v>
      </c>
      <c r="BZ34" s="5">
        <v>240633.79683800001</v>
      </c>
      <c r="CA34" s="5">
        <v>5433.9989999999998</v>
      </c>
      <c r="CB34" s="5">
        <v>17478.3125</v>
      </c>
      <c r="CC34" s="5">
        <v>3837.3</v>
      </c>
      <c r="CD34" s="5">
        <v>90000</v>
      </c>
      <c r="CE34" s="5">
        <v>327425</v>
      </c>
      <c r="CF34" s="5">
        <v>17569145</v>
      </c>
      <c r="CG34" s="5">
        <v>52.76</v>
      </c>
      <c r="CH34" s="5">
        <v>2008809.5</v>
      </c>
      <c r="CI34" s="5">
        <v>133</v>
      </c>
      <c r="CJ34" s="5">
        <v>3837300</v>
      </c>
      <c r="CK34" s="5">
        <v>90000</v>
      </c>
      <c r="CL34" s="5">
        <v>327425</v>
      </c>
      <c r="CM34" s="5">
        <v>1619830.5</v>
      </c>
      <c r="CN34" s="43">
        <v>-1582200.8709999998</v>
      </c>
      <c r="CO34" s="5">
        <v>460042</v>
      </c>
      <c r="CP34" s="5">
        <v>0</v>
      </c>
      <c r="CQ34" s="5">
        <v>6250</v>
      </c>
      <c r="CR34" s="5">
        <v>60.269999999999996</v>
      </c>
      <c r="CS34" s="5">
        <v>77.28</v>
      </c>
      <c r="CT34" s="5">
        <v>545</v>
      </c>
      <c r="CU34" s="5">
        <v>93.555000000000007</v>
      </c>
      <c r="CV34" s="5">
        <v>3446.5</v>
      </c>
      <c r="CW34" s="5">
        <v>37860.33</v>
      </c>
      <c r="CX34" s="5">
        <v>58.44</v>
      </c>
      <c r="CY34" s="5">
        <v>60.269999999999996</v>
      </c>
      <c r="CZ34" s="5">
        <v>77.28</v>
      </c>
      <c r="DA34" s="5">
        <v>545</v>
      </c>
      <c r="DB34" s="5">
        <v>93.555000000000007</v>
      </c>
      <c r="DC34" s="5">
        <v>3446.5</v>
      </c>
      <c r="DD34" s="5">
        <v>37860.33</v>
      </c>
      <c r="DE34" s="5">
        <v>98.14</v>
      </c>
      <c r="DF34" s="5">
        <v>967.37</v>
      </c>
      <c r="DG34" s="5">
        <v>69.805000000000007</v>
      </c>
      <c r="DH34" s="5">
        <v>72.519999999999897</v>
      </c>
      <c r="DI34" s="5">
        <v>102.03999999999999</v>
      </c>
      <c r="DJ34" s="5">
        <v>98.14</v>
      </c>
      <c r="DK34" s="5">
        <v>967.37</v>
      </c>
      <c r="DL34" s="5">
        <v>262.70650000000001</v>
      </c>
      <c r="DM34" s="5">
        <v>1424.45</v>
      </c>
      <c r="DN34" s="5">
        <v>69.805000000000007</v>
      </c>
      <c r="DO34" s="5">
        <v>72.519999999999897</v>
      </c>
      <c r="DP34" s="5">
        <v>102.03999999999999</v>
      </c>
    </row>
    <row r="35" spans="1:120" x14ac:dyDescent="0.35">
      <c r="A35">
        <v>2016</v>
      </c>
      <c r="B35">
        <v>1</v>
      </c>
      <c r="C35" s="11">
        <v>826.69580000000008</v>
      </c>
      <c r="D35" s="5">
        <v>5325</v>
      </c>
      <c r="E35" s="5">
        <v>2000</v>
      </c>
      <c r="F35" s="11">
        <v>2.6625000000000001</v>
      </c>
      <c r="G35" s="5">
        <v>261.47000000000003</v>
      </c>
      <c r="H35" s="5">
        <v>1873</v>
      </c>
      <c r="I35" s="6">
        <v>53.07</v>
      </c>
      <c r="J35" s="5">
        <v>731811</v>
      </c>
      <c r="K35" s="5">
        <v>122</v>
      </c>
      <c r="L35">
        <v>8.5299999999999994</v>
      </c>
      <c r="M35" s="5">
        <v>123</v>
      </c>
      <c r="N35" s="5">
        <v>43872.746106000006</v>
      </c>
      <c r="O35" s="5">
        <v>826.69580000000008</v>
      </c>
      <c r="P35" s="5">
        <v>43872.746106000006</v>
      </c>
      <c r="Q35" s="5">
        <v>266627.74610600004</v>
      </c>
      <c r="R35" s="5">
        <v>222755</v>
      </c>
      <c r="S35" s="5">
        <v>30822.167449853601</v>
      </c>
      <c r="T35" s="5">
        <v>0.11559999999999999</v>
      </c>
      <c r="U35" s="5">
        <v>266627.74610600004</v>
      </c>
      <c r="V35" s="5">
        <v>142247.11243800001</v>
      </c>
      <c r="W35" s="5">
        <v>3.0148000000000002E-3</v>
      </c>
      <c r="X35" s="5">
        <v>47182935</v>
      </c>
      <c r="Y35" s="5">
        <v>1324.712</v>
      </c>
      <c r="Z35" s="5">
        <v>12061</v>
      </c>
      <c r="AA35" s="5">
        <v>2782.326</v>
      </c>
      <c r="AB35" s="5">
        <v>2845.3530000000001</v>
      </c>
      <c r="AC35" s="5">
        <v>548.59500000000003</v>
      </c>
      <c r="AD35" s="5">
        <v>0.05</v>
      </c>
      <c r="AE35" s="5">
        <v>1330.6715999999999</v>
      </c>
      <c r="AF35" s="5">
        <v>1619830</v>
      </c>
      <c r="AG35" s="5">
        <v>45720.264009999999</v>
      </c>
      <c r="AH35" s="5">
        <v>47182935</v>
      </c>
      <c r="AI35" s="5">
        <v>142247.11243800001</v>
      </c>
      <c r="AJ35" s="5">
        <v>2845353</v>
      </c>
      <c r="AK35" s="5">
        <v>39058.033000000003</v>
      </c>
      <c r="AL35" s="5">
        <v>12247.499999999998</v>
      </c>
      <c r="AM35" s="5">
        <v>12061</v>
      </c>
      <c r="AN35" s="5">
        <v>261.55638599999997</v>
      </c>
      <c r="AO35" s="5">
        <v>53.988999999999997</v>
      </c>
      <c r="AP35" s="5">
        <v>3.3044905277734875</v>
      </c>
      <c r="AQ35" s="5">
        <v>36201.224999999999</v>
      </c>
      <c r="AR35" s="5">
        <v>311</v>
      </c>
      <c r="AS35" s="5">
        <v>6200</v>
      </c>
      <c r="AT35" s="5">
        <v>13436</v>
      </c>
      <c r="AU35" s="5">
        <v>83303200</v>
      </c>
      <c r="AV35" s="5">
        <v>6734638</v>
      </c>
      <c r="AW35" s="5">
        <v>45720.264009999999</v>
      </c>
      <c r="AX35" s="5">
        <v>39058.033000000003</v>
      </c>
      <c r="AY35" s="5">
        <v>6662.2310099999959</v>
      </c>
      <c r="AZ35" s="5">
        <v>6123</v>
      </c>
      <c r="BA35" s="5">
        <v>10915</v>
      </c>
      <c r="BB35" s="5">
        <v>11511</v>
      </c>
      <c r="BC35" s="5">
        <v>5325</v>
      </c>
      <c r="BD35" s="52" t="s">
        <v>353</v>
      </c>
      <c r="BE35" s="5">
        <v>10915</v>
      </c>
      <c r="BF35" s="5">
        <v>1330.6715999999999</v>
      </c>
      <c r="BG35" s="5">
        <v>550</v>
      </c>
      <c r="BH35" s="5">
        <v>550</v>
      </c>
      <c r="BI35" s="5">
        <v>11511</v>
      </c>
      <c r="BJ35" s="5">
        <v>6123</v>
      </c>
      <c r="BK35" s="5">
        <v>4426</v>
      </c>
      <c r="BL35" s="5">
        <v>1330.6715999999999</v>
      </c>
      <c r="BM35" s="5">
        <v>4609790.9000000004</v>
      </c>
      <c r="BN35" s="5">
        <v>5591</v>
      </c>
      <c r="BO35" s="5">
        <v>43872.746106000006</v>
      </c>
      <c r="BP35" s="5">
        <v>222755</v>
      </c>
      <c r="BQ35" s="5">
        <v>266627.74610600004</v>
      </c>
      <c r="BR35" s="5">
        <v>2845.3530000000001</v>
      </c>
      <c r="BS35" s="5">
        <v>4609790.9000000004</v>
      </c>
      <c r="BT35" s="5">
        <v>4044829</v>
      </c>
      <c r="BU35" s="5">
        <v>5.0363626290551595E-3</v>
      </c>
      <c r="BV35" s="5" t="s">
        <v>353</v>
      </c>
      <c r="BW35" s="5">
        <v>550</v>
      </c>
      <c r="BX35" s="5">
        <v>43872.746106000006</v>
      </c>
      <c r="BY35" s="5">
        <v>222755</v>
      </c>
      <c r="BZ35" s="5">
        <v>266627.74610600004</v>
      </c>
      <c r="CA35" s="5">
        <v>5596.5749999999998</v>
      </c>
      <c r="CB35" s="5">
        <v>17678.234</v>
      </c>
      <c r="CC35" s="5">
        <v>3849.6</v>
      </c>
      <c r="CD35" s="5">
        <v>93000</v>
      </c>
      <c r="CE35" s="5">
        <v>372558</v>
      </c>
      <c r="CF35" s="5">
        <v>17306991</v>
      </c>
      <c r="CG35" s="5">
        <v>51.36</v>
      </c>
      <c r="CH35" s="5">
        <v>2074286</v>
      </c>
      <c r="CI35" s="5">
        <v>132</v>
      </c>
      <c r="CJ35" s="5">
        <v>3849600</v>
      </c>
      <c r="CK35" s="5">
        <v>93000</v>
      </c>
      <c r="CL35" s="5">
        <v>372558</v>
      </c>
      <c r="CM35" s="5">
        <v>1619830</v>
      </c>
      <c r="CN35" s="43">
        <v>-1580771.9669999999</v>
      </c>
      <c r="CO35" s="5">
        <v>645087</v>
      </c>
      <c r="CP35" s="5">
        <v>0</v>
      </c>
      <c r="CQ35" s="5">
        <v>6800</v>
      </c>
      <c r="CR35" s="5">
        <v>58.91</v>
      </c>
      <c r="CS35" s="5">
        <v>77.290000000000006</v>
      </c>
      <c r="CT35" s="5">
        <v>539</v>
      </c>
      <c r="CU35" s="5">
        <v>93.5</v>
      </c>
      <c r="CV35" s="5">
        <v>3562</v>
      </c>
      <c r="CW35" s="5">
        <v>38264.19</v>
      </c>
      <c r="CX35" s="5">
        <v>61.63</v>
      </c>
      <c r="CY35" s="5">
        <v>58.91</v>
      </c>
      <c r="CZ35" s="5">
        <v>77.290000000000006</v>
      </c>
      <c r="DA35" s="5">
        <v>539</v>
      </c>
      <c r="DB35" s="5">
        <v>93.5</v>
      </c>
      <c r="DC35" s="5">
        <v>3562</v>
      </c>
      <c r="DD35" s="5">
        <v>38264.19</v>
      </c>
      <c r="DE35" s="5">
        <v>97.72</v>
      </c>
      <c r="DF35" s="5">
        <v>973.61</v>
      </c>
      <c r="DG35" s="5">
        <v>72.430000000000007</v>
      </c>
      <c r="DH35" s="5">
        <v>72.679999999999893</v>
      </c>
      <c r="DI35" s="5">
        <v>98.56</v>
      </c>
      <c r="DJ35" s="5">
        <v>97.72</v>
      </c>
      <c r="DK35" s="5">
        <v>973.61</v>
      </c>
      <c r="DL35" s="5">
        <v>261.47000000000003</v>
      </c>
      <c r="DM35" s="5">
        <v>1873</v>
      </c>
      <c r="DN35" s="5">
        <v>72.430000000000007</v>
      </c>
      <c r="DO35" s="5">
        <v>72.679999999999893</v>
      </c>
      <c r="DP35" s="5">
        <v>98.56</v>
      </c>
    </row>
    <row r="36" spans="1:120" x14ac:dyDescent="0.35">
      <c r="B36">
        <v>2</v>
      </c>
      <c r="C36" s="11">
        <v>845.48955000000001</v>
      </c>
      <c r="D36" s="5">
        <v>5637</v>
      </c>
      <c r="E36" s="5">
        <v>2075</v>
      </c>
      <c r="F36" s="11">
        <v>2.7147383720930236</v>
      </c>
      <c r="G36" s="5">
        <v>260.74549999999999</v>
      </c>
      <c r="H36" s="5">
        <v>1987.5</v>
      </c>
      <c r="I36" s="11">
        <v>53.55</v>
      </c>
      <c r="J36" s="5">
        <v>779253.4</v>
      </c>
      <c r="K36" s="5">
        <v>123.5</v>
      </c>
      <c r="L36" s="11">
        <v>8.98</v>
      </c>
      <c r="M36" s="5">
        <v>122.5</v>
      </c>
      <c r="N36" s="5">
        <v>45284.986402500006</v>
      </c>
      <c r="O36" s="5">
        <v>845.48955000000001</v>
      </c>
      <c r="P36" s="5">
        <v>45284.986402500006</v>
      </c>
      <c r="Q36" s="5">
        <v>389866.0364025</v>
      </c>
      <c r="R36" s="5">
        <v>344581.05</v>
      </c>
      <c r="S36" s="5">
        <v>45478.997269488202</v>
      </c>
      <c r="T36" s="5">
        <v>0.1164</v>
      </c>
      <c r="U36" s="5">
        <v>389866.0364025</v>
      </c>
      <c r="V36" s="5">
        <v>158825.85492750001</v>
      </c>
      <c r="W36" s="5">
        <v>2.9878999999999999E-3</v>
      </c>
      <c r="X36" s="5">
        <v>53210616</v>
      </c>
      <c r="Y36" s="5">
        <v>1471.453</v>
      </c>
      <c r="Z36" s="5">
        <v>12123</v>
      </c>
      <c r="AA36" s="5">
        <v>2662.3654999999999</v>
      </c>
      <c r="AB36" s="5">
        <v>3085.5375000000004</v>
      </c>
      <c r="AC36" s="5">
        <v>1017.111</v>
      </c>
      <c r="AD36" s="5">
        <v>5.4000000000000006E-2</v>
      </c>
      <c r="AE36" s="5">
        <v>1341.2867999999999</v>
      </c>
      <c r="AF36" s="5">
        <v>1472271</v>
      </c>
      <c r="AG36" s="5">
        <v>51561.086899999995</v>
      </c>
      <c r="AH36" s="5">
        <v>53210616</v>
      </c>
      <c r="AI36" s="5">
        <v>158825.85492750001</v>
      </c>
      <c r="AJ36" s="5">
        <v>3085537.5</v>
      </c>
      <c r="AK36" s="5">
        <v>43875.9565</v>
      </c>
      <c r="AL36" s="5">
        <v>12965.099999999999</v>
      </c>
      <c r="AM36" s="5">
        <v>12123</v>
      </c>
      <c r="AN36" s="5">
        <v>263.1036775</v>
      </c>
      <c r="AO36" s="5">
        <v>54.323999999999998</v>
      </c>
      <c r="AP36" s="5">
        <v>3.3045982129931266</v>
      </c>
      <c r="AQ36" s="5">
        <v>37629.629000000001</v>
      </c>
      <c r="AR36" s="5">
        <v>336.5</v>
      </c>
      <c r="AS36" s="5">
        <v>6250</v>
      </c>
      <c r="AT36" s="5">
        <v>13492</v>
      </c>
      <c r="AU36" s="5">
        <v>84327800</v>
      </c>
      <c r="AV36" s="5">
        <v>9395000</v>
      </c>
      <c r="AW36" s="5">
        <v>51561.086899999995</v>
      </c>
      <c r="AX36" s="5">
        <v>43875.9565</v>
      </c>
      <c r="AY36" s="5">
        <v>7685.1303999999982</v>
      </c>
      <c r="AZ36" s="5">
        <v>6482</v>
      </c>
      <c r="BA36" s="5">
        <v>11213</v>
      </c>
      <c r="BB36" s="5">
        <v>11523</v>
      </c>
      <c r="BC36" s="5">
        <v>5637</v>
      </c>
      <c r="BD36" s="52" t="s">
        <v>353</v>
      </c>
      <c r="BE36" s="5">
        <v>11213</v>
      </c>
      <c r="BF36" s="5">
        <v>1341.2867999999999</v>
      </c>
      <c r="BG36" s="5">
        <v>600</v>
      </c>
      <c r="BH36" s="5">
        <v>600</v>
      </c>
      <c r="BI36" s="5">
        <v>11523</v>
      </c>
      <c r="BJ36" s="5">
        <v>6482</v>
      </c>
      <c r="BK36" s="5">
        <v>4741</v>
      </c>
      <c r="BL36" s="5">
        <v>1341.2867999999999</v>
      </c>
      <c r="BM36" s="5">
        <v>4872987.75</v>
      </c>
      <c r="BN36" s="5">
        <v>5918.5</v>
      </c>
      <c r="BO36" s="5">
        <v>45284.986402500006</v>
      </c>
      <c r="BP36" s="5">
        <v>344581.05</v>
      </c>
      <c r="BQ36" s="5">
        <v>389866.0364025</v>
      </c>
      <c r="BR36" s="5">
        <v>3085.5375000000004</v>
      </c>
      <c r="BS36" s="5">
        <v>4872987.75</v>
      </c>
      <c r="BT36" s="5">
        <v>4327309.95</v>
      </c>
      <c r="BU36" s="5">
        <v>5.6771495924534034E-3</v>
      </c>
      <c r="BV36" s="5" t="s">
        <v>353</v>
      </c>
      <c r="BW36" s="5">
        <v>600</v>
      </c>
      <c r="BX36" s="5">
        <v>45284.986402500006</v>
      </c>
      <c r="BY36" s="5">
        <v>344581.05</v>
      </c>
      <c r="BZ36" s="5">
        <v>389866.0364025</v>
      </c>
      <c r="CA36" s="5">
        <v>5835.2520000000004</v>
      </c>
      <c r="CB36" s="5">
        <v>17917.478500000001</v>
      </c>
      <c r="CC36" s="5">
        <v>4094.8500000000004</v>
      </c>
      <c r="CD36" s="5">
        <v>99000</v>
      </c>
      <c r="CE36" s="5">
        <v>348280.5</v>
      </c>
      <c r="CF36" s="5">
        <v>18439969</v>
      </c>
      <c r="CG36" s="5">
        <v>53.34</v>
      </c>
      <c r="CH36" s="5">
        <v>2074286</v>
      </c>
      <c r="CI36" s="5">
        <v>134</v>
      </c>
      <c r="CJ36" s="5">
        <v>4094850</v>
      </c>
      <c r="CK36" s="5">
        <v>99000</v>
      </c>
      <c r="CL36" s="5">
        <v>348280.5</v>
      </c>
      <c r="CM36" s="5">
        <v>1472271</v>
      </c>
      <c r="CN36" s="43">
        <v>-1428395.0435000001</v>
      </c>
      <c r="CO36" s="5">
        <v>596841</v>
      </c>
      <c r="CP36" s="5">
        <v>0</v>
      </c>
      <c r="CQ36" s="5">
        <v>6500</v>
      </c>
      <c r="CR36" s="5">
        <v>63.059999999999995</v>
      </c>
      <c r="CS36" s="5">
        <v>77.355000000000004</v>
      </c>
      <c r="CT36" s="5">
        <v>536.5</v>
      </c>
      <c r="CU36" s="5">
        <v>93.545000000000002</v>
      </c>
      <c r="CV36" s="5">
        <v>3699.5</v>
      </c>
      <c r="CW36" s="5">
        <v>38073.449999999997</v>
      </c>
      <c r="CX36" s="5">
        <v>60.269999999999996</v>
      </c>
      <c r="CY36" s="5">
        <v>63.059999999999995</v>
      </c>
      <c r="CZ36" s="5">
        <v>77.355000000000004</v>
      </c>
      <c r="DA36" s="5">
        <v>536.5</v>
      </c>
      <c r="DB36" s="5">
        <v>93.545000000000002</v>
      </c>
      <c r="DC36" s="5">
        <v>3699.5</v>
      </c>
      <c r="DD36" s="5">
        <v>38073.449999999997</v>
      </c>
      <c r="DE36" s="5">
        <v>100.35</v>
      </c>
      <c r="DF36" s="5">
        <v>974.62</v>
      </c>
      <c r="DG36" s="5">
        <v>72.495000000000005</v>
      </c>
      <c r="DH36" s="5">
        <v>72.83999999999989</v>
      </c>
      <c r="DI36" s="5">
        <v>98.14</v>
      </c>
      <c r="DJ36" s="5">
        <v>100.35</v>
      </c>
      <c r="DK36" s="5">
        <v>974.62</v>
      </c>
      <c r="DL36" s="5">
        <v>260.74549999999999</v>
      </c>
      <c r="DM36" s="5">
        <v>1987.5</v>
      </c>
      <c r="DN36" s="5">
        <v>72.495000000000005</v>
      </c>
      <c r="DO36" s="5">
        <v>72.83999999999989</v>
      </c>
      <c r="DP36" s="5">
        <v>98.14</v>
      </c>
    </row>
    <row r="37" spans="1:120" x14ac:dyDescent="0.35">
      <c r="A37">
        <v>2017</v>
      </c>
      <c r="B37">
        <v>1</v>
      </c>
      <c r="C37" s="11">
        <v>864.28330000000005</v>
      </c>
      <c r="D37" s="5">
        <v>5949</v>
      </c>
      <c r="E37" s="5">
        <v>2150</v>
      </c>
      <c r="F37" s="11">
        <v>2.7669767441860467</v>
      </c>
      <c r="G37" s="5">
        <v>260.02100000000002</v>
      </c>
      <c r="H37" s="5">
        <v>2102</v>
      </c>
      <c r="I37" s="6">
        <v>54.03</v>
      </c>
      <c r="J37" s="5">
        <v>826695.8</v>
      </c>
      <c r="K37" s="5">
        <v>125</v>
      </c>
      <c r="L37">
        <v>9.43</v>
      </c>
      <c r="M37" s="5">
        <v>122</v>
      </c>
      <c r="N37" s="5">
        <v>46697.226699000006</v>
      </c>
      <c r="O37" s="5">
        <v>864.28330000000005</v>
      </c>
      <c r="P37" s="5">
        <v>46697.226699000006</v>
      </c>
      <c r="Q37" s="5">
        <v>513104.32669899997</v>
      </c>
      <c r="R37" s="5">
        <v>466407.1</v>
      </c>
      <c r="S37" s="5">
        <v>60135.827089122795</v>
      </c>
      <c r="T37" s="5">
        <v>0.1172</v>
      </c>
      <c r="U37" s="5">
        <v>513104.32669899997</v>
      </c>
      <c r="V37" s="5">
        <v>175404.59741700001</v>
      </c>
      <c r="W37" s="5">
        <v>2.9610000000000001E-3</v>
      </c>
      <c r="X37" s="5">
        <v>59238297</v>
      </c>
      <c r="Y37" s="5">
        <v>1618.194</v>
      </c>
      <c r="Z37" s="5">
        <v>12185</v>
      </c>
      <c r="AA37" s="5">
        <v>2542.4050000000002</v>
      </c>
      <c r="AB37" s="5">
        <v>3325.7220000000002</v>
      </c>
      <c r="AC37" s="5">
        <v>1485.627</v>
      </c>
      <c r="AD37" s="5">
        <v>5.8000000000000003E-2</v>
      </c>
      <c r="AE37" s="5">
        <v>1351.902</v>
      </c>
      <c r="AF37" s="5">
        <v>1324712</v>
      </c>
      <c r="AG37" s="5">
        <v>57401.909789999998</v>
      </c>
      <c r="AH37" s="5">
        <v>59238297</v>
      </c>
      <c r="AI37" s="5">
        <v>175404.59741700001</v>
      </c>
      <c r="AJ37" s="5">
        <v>3325722</v>
      </c>
      <c r="AK37" s="5">
        <v>48693.88</v>
      </c>
      <c r="AL37" s="5">
        <v>13682.699999999999</v>
      </c>
      <c r="AM37" s="5">
        <v>12185</v>
      </c>
      <c r="AN37" s="5">
        <v>264.65096899999998</v>
      </c>
      <c r="AO37" s="5">
        <v>54.658999999999999</v>
      </c>
      <c r="AP37" s="5">
        <v>3.3047058982127653</v>
      </c>
      <c r="AQ37" s="5">
        <v>39058.033000000003</v>
      </c>
      <c r="AR37" s="5">
        <v>362</v>
      </c>
      <c r="AS37" s="5">
        <v>6300</v>
      </c>
      <c r="AT37" s="5">
        <v>13548</v>
      </c>
      <c r="AU37" s="5">
        <v>85352400</v>
      </c>
      <c r="AV37" s="5">
        <v>12055362</v>
      </c>
      <c r="AW37" s="5">
        <v>57401.909789999998</v>
      </c>
      <c r="AX37" s="5">
        <v>48693.88</v>
      </c>
      <c r="AY37" s="5">
        <v>8708.0297900000005</v>
      </c>
      <c r="AZ37" s="5">
        <v>6841</v>
      </c>
      <c r="BA37" s="5">
        <v>11511</v>
      </c>
      <c r="BB37" s="5">
        <v>11535</v>
      </c>
      <c r="BC37" s="5">
        <v>5949</v>
      </c>
      <c r="BD37" s="52" t="s">
        <v>354</v>
      </c>
      <c r="BE37" s="5">
        <v>11511</v>
      </c>
      <c r="BF37" s="5">
        <v>1351.902</v>
      </c>
      <c r="BG37" s="5">
        <v>650</v>
      </c>
      <c r="BH37" s="5">
        <v>650</v>
      </c>
      <c r="BI37" s="5">
        <v>11535</v>
      </c>
      <c r="BJ37" s="5">
        <v>6841</v>
      </c>
      <c r="BK37" s="5">
        <v>5056</v>
      </c>
      <c r="BL37" s="5">
        <v>1351.902</v>
      </c>
      <c r="BM37" s="5">
        <v>5136184.5999999996</v>
      </c>
      <c r="BN37" s="5">
        <v>6246</v>
      </c>
      <c r="BO37" s="5">
        <v>46697.226699000006</v>
      </c>
      <c r="BP37" s="5">
        <v>466407.1</v>
      </c>
      <c r="BQ37" s="5">
        <v>513104.32669899997</v>
      </c>
      <c r="BR37" s="5">
        <v>3325.7220000000002</v>
      </c>
      <c r="BS37" s="5">
        <v>5136184.5999999996</v>
      </c>
      <c r="BT37" s="5">
        <v>4609790.9000000004</v>
      </c>
      <c r="BU37" s="5">
        <v>6.3179365558516465E-3</v>
      </c>
      <c r="BV37" s="5" t="s">
        <v>354</v>
      </c>
      <c r="BW37" s="5">
        <v>650</v>
      </c>
      <c r="BX37" s="5">
        <v>46697.226699000006</v>
      </c>
      <c r="BY37" s="5">
        <v>466407.1</v>
      </c>
      <c r="BZ37" s="5">
        <v>513104.32669899997</v>
      </c>
      <c r="CA37" s="5">
        <v>6073.9290000000001</v>
      </c>
      <c r="CB37" s="5">
        <v>18156.723000000002</v>
      </c>
      <c r="CC37" s="5">
        <v>4340.1000000000004</v>
      </c>
      <c r="CD37" s="5">
        <v>105000</v>
      </c>
      <c r="CE37" s="5">
        <v>324003</v>
      </c>
      <c r="CF37" s="5">
        <v>19572947</v>
      </c>
      <c r="CG37" s="5">
        <v>55.32</v>
      </c>
      <c r="CH37" s="5">
        <v>2074286</v>
      </c>
      <c r="CI37" s="5">
        <v>136</v>
      </c>
      <c r="CJ37" s="5">
        <v>4340100</v>
      </c>
      <c r="CK37" s="5">
        <v>105000</v>
      </c>
      <c r="CL37" s="5">
        <v>324003</v>
      </c>
      <c r="CM37" s="5">
        <v>1324712</v>
      </c>
      <c r="CN37" s="43">
        <v>-1276018.1200000001</v>
      </c>
      <c r="CO37" s="5">
        <v>548595</v>
      </c>
      <c r="CP37" s="5">
        <v>0</v>
      </c>
      <c r="CQ37" s="5">
        <v>6200</v>
      </c>
      <c r="CR37" s="5">
        <v>67.209999999999994</v>
      </c>
      <c r="CS37" s="5">
        <v>77.42</v>
      </c>
      <c r="CT37" s="5">
        <v>534</v>
      </c>
      <c r="CU37" s="5">
        <v>93.59</v>
      </c>
      <c r="CV37" s="5">
        <v>3837</v>
      </c>
      <c r="CW37" s="5">
        <v>37882.71</v>
      </c>
      <c r="CX37" s="5">
        <v>58.91</v>
      </c>
      <c r="CY37" s="5">
        <v>67.209999999999994</v>
      </c>
      <c r="CZ37" s="5">
        <v>77.42</v>
      </c>
      <c r="DA37" s="5">
        <v>534</v>
      </c>
      <c r="DB37" s="5">
        <v>93.59</v>
      </c>
      <c r="DC37" s="5">
        <v>3837</v>
      </c>
      <c r="DD37" s="5">
        <v>37882.71</v>
      </c>
      <c r="DE37" s="5">
        <v>102.98</v>
      </c>
      <c r="DF37" s="5">
        <v>975.63</v>
      </c>
      <c r="DG37" s="5">
        <v>72.56</v>
      </c>
      <c r="DH37" s="5">
        <v>72.999999999999901</v>
      </c>
      <c r="DI37" s="5">
        <v>97.72</v>
      </c>
      <c r="DJ37" s="5">
        <v>102.98</v>
      </c>
      <c r="DK37" s="5">
        <v>975.63</v>
      </c>
      <c r="DL37" s="5">
        <v>260.02100000000002</v>
      </c>
      <c r="DM37" s="5">
        <v>2102</v>
      </c>
      <c r="DN37" s="5">
        <v>72.56</v>
      </c>
      <c r="DO37" s="5">
        <v>72.999999999999901</v>
      </c>
      <c r="DP37" s="5">
        <v>97.72</v>
      </c>
    </row>
    <row r="38" spans="1:120" x14ac:dyDescent="0.35">
      <c r="B38">
        <v>2</v>
      </c>
      <c r="C38" s="11">
        <v>879.21669999999995</v>
      </c>
      <c r="D38" s="5">
        <v>5806</v>
      </c>
      <c r="E38" s="5">
        <v>2175</v>
      </c>
      <c r="F38" s="11">
        <v>2.6705338266384779</v>
      </c>
      <c r="G38" s="5">
        <v>212.2885</v>
      </c>
      <c r="H38" s="5">
        <v>2115.5</v>
      </c>
      <c r="I38" s="11">
        <v>53.1</v>
      </c>
      <c r="J38" s="5">
        <v>845489.55</v>
      </c>
      <c r="K38" s="5">
        <v>130</v>
      </c>
      <c r="L38" s="11">
        <v>9.8350000000000009</v>
      </c>
      <c r="M38" s="5">
        <v>123.5</v>
      </c>
      <c r="N38" s="5">
        <v>46672.518708000003</v>
      </c>
      <c r="O38" s="5">
        <v>879.21669999999995</v>
      </c>
      <c r="P38" s="5">
        <v>46672.518708000003</v>
      </c>
      <c r="Q38" s="5">
        <v>680052.48870799993</v>
      </c>
      <c r="R38" s="5">
        <v>633379.97</v>
      </c>
      <c r="S38" s="5">
        <v>81862.003335905945</v>
      </c>
      <c r="T38" s="5">
        <v>0.11975</v>
      </c>
      <c r="U38" s="5">
        <v>680052.48870799993</v>
      </c>
      <c r="V38" s="5">
        <v>178480.40171494801</v>
      </c>
      <c r="W38" s="5">
        <v>3.0138999999999999E-3</v>
      </c>
      <c r="X38" s="5">
        <v>59219416.859999999</v>
      </c>
      <c r="Y38" s="5">
        <v>1281.8630000000001</v>
      </c>
      <c r="Z38" s="5">
        <v>12494.5</v>
      </c>
      <c r="AA38" s="5">
        <v>1874.837</v>
      </c>
      <c r="AB38" s="5">
        <v>2365.2804999999998</v>
      </c>
      <c r="AC38" s="5">
        <v>1636.4634999999998</v>
      </c>
      <c r="AD38" s="5">
        <v>5.7500000000000002E-2</v>
      </c>
      <c r="AE38" s="5">
        <v>1413.0531000000001</v>
      </c>
      <c r="AF38" s="5">
        <v>1471453</v>
      </c>
      <c r="AG38" s="5">
        <v>57383.614934999998</v>
      </c>
      <c r="AH38" s="5">
        <v>59219416.859999999</v>
      </c>
      <c r="AI38" s="5">
        <v>178480.40171494801</v>
      </c>
      <c r="AJ38" s="5">
        <v>2365280.5</v>
      </c>
      <c r="AK38" s="5">
        <v>51786.388500000001</v>
      </c>
      <c r="AL38" s="5">
        <v>13353.8</v>
      </c>
      <c r="AM38" s="5">
        <v>12494.5</v>
      </c>
      <c r="AN38" s="5">
        <v>266.16075899999998</v>
      </c>
      <c r="AO38" s="5">
        <v>54.992000000000004</v>
      </c>
      <c r="AP38" s="5">
        <v>3.3048135300568284</v>
      </c>
      <c r="AQ38" s="5">
        <v>43875.9565</v>
      </c>
      <c r="AR38" s="5">
        <v>387.5</v>
      </c>
      <c r="AS38" s="5">
        <v>6350</v>
      </c>
      <c r="AT38" s="5">
        <v>14014.5</v>
      </c>
      <c r="AU38" s="5">
        <v>89015400</v>
      </c>
      <c r="AV38" s="5">
        <v>6008800.8599999994</v>
      </c>
      <c r="AW38" s="5">
        <v>57383.614934999998</v>
      </c>
      <c r="AX38" s="5">
        <v>51786.388500000001</v>
      </c>
      <c r="AY38" s="5">
        <v>5597.2264350000005</v>
      </c>
      <c r="AZ38" s="5">
        <v>6676.5</v>
      </c>
      <c r="BA38" s="5">
        <v>11523</v>
      </c>
      <c r="BB38" s="5">
        <v>11794.5</v>
      </c>
      <c r="BC38" s="5">
        <v>5806</v>
      </c>
      <c r="BD38" s="52" t="s">
        <v>354</v>
      </c>
      <c r="BE38" s="5">
        <v>11523</v>
      </c>
      <c r="BF38" s="5">
        <v>1413.0531000000001</v>
      </c>
      <c r="BG38" s="5">
        <v>700</v>
      </c>
      <c r="BH38" s="5">
        <v>700</v>
      </c>
      <c r="BI38" s="5">
        <v>11794.5</v>
      </c>
      <c r="BJ38" s="5">
        <v>6676.5</v>
      </c>
      <c r="BK38" s="5">
        <v>4934.5</v>
      </c>
      <c r="BL38" s="5">
        <v>1413.0531000000001</v>
      </c>
      <c r="BM38" s="5">
        <v>5300701.5250000004</v>
      </c>
      <c r="BN38" s="5">
        <v>6096</v>
      </c>
      <c r="BO38" s="5">
        <v>46672.518708000003</v>
      </c>
      <c r="BP38" s="5">
        <v>633379.97</v>
      </c>
      <c r="BQ38" s="5">
        <v>680052.48870799993</v>
      </c>
      <c r="BR38" s="5">
        <v>2365.2804999999998</v>
      </c>
      <c r="BS38" s="5">
        <v>5300701.5250000004</v>
      </c>
      <c r="BT38" s="5">
        <v>4872987.75</v>
      </c>
      <c r="BU38" s="5">
        <v>5.2937623120350762E-3</v>
      </c>
      <c r="BV38" s="5" t="s">
        <v>354</v>
      </c>
      <c r="BW38" s="5">
        <v>700</v>
      </c>
      <c r="BX38" s="5">
        <v>46672.518708000003</v>
      </c>
      <c r="BY38" s="5">
        <v>633379.97</v>
      </c>
      <c r="BZ38" s="5">
        <v>680052.48870799993</v>
      </c>
      <c r="CA38" s="5">
        <v>6097.8160000000007</v>
      </c>
      <c r="CB38" s="5">
        <v>18462.329000000002</v>
      </c>
      <c r="CC38" s="5">
        <v>4398.6499999999996</v>
      </c>
      <c r="CD38" s="5">
        <v>116500</v>
      </c>
      <c r="CE38" s="5">
        <v>318362.5</v>
      </c>
      <c r="CF38" s="5">
        <v>19902390</v>
      </c>
      <c r="CG38" s="5">
        <v>53.39</v>
      </c>
      <c r="CH38" s="5">
        <v>2205893</v>
      </c>
      <c r="CI38" s="5">
        <v>137.5</v>
      </c>
      <c r="CJ38" s="5">
        <v>4398650</v>
      </c>
      <c r="CK38" s="5">
        <v>116500</v>
      </c>
      <c r="CL38" s="5">
        <v>318362.5</v>
      </c>
      <c r="CM38" s="5">
        <v>1471453</v>
      </c>
      <c r="CN38" s="43">
        <v>-1419666.6115000001</v>
      </c>
      <c r="CO38" s="5">
        <v>1017111</v>
      </c>
      <c r="CP38" s="5">
        <v>0</v>
      </c>
      <c r="CQ38" s="5">
        <v>6250</v>
      </c>
      <c r="CR38" s="5">
        <v>68.509999999999991</v>
      </c>
      <c r="CS38" s="5">
        <v>77.414999999999992</v>
      </c>
      <c r="CT38" s="5">
        <v>524.5</v>
      </c>
      <c r="CU38" s="5">
        <v>93.990000000000009</v>
      </c>
      <c r="CV38" s="5">
        <v>3865</v>
      </c>
      <c r="CW38" s="5">
        <v>37753.399999999994</v>
      </c>
      <c r="CX38" s="5">
        <v>63.059999999999995</v>
      </c>
      <c r="CY38" s="5">
        <v>68.509999999999991</v>
      </c>
      <c r="CZ38" s="5">
        <v>77.414999999999992</v>
      </c>
      <c r="DA38" s="5">
        <v>524.5</v>
      </c>
      <c r="DB38" s="5">
        <v>93.990000000000009</v>
      </c>
      <c r="DC38" s="5">
        <v>3865</v>
      </c>
      <c r="DD38" s="5">
        <v>37753.399999999994</v>
      </c>
      <c r="DE38" s="5">
        <v>106.17</v>
      </c>
      <c r="DF38" s="5">
        <v>975.79500000000007</v>
      </c>
      <c r="DG38" s="5">
        <v>73.58</v>
      </c>
      <c r="DH38" s="5">
        <v>73.159999999999897</v>
      </c>
      <c r="DI38" s="5">
        <v>100.35</v>
      </c>
      <c r="DJ38" s="5">
        <v>106.17</v>
      </c>
      <c r="DK38" s="5">
        <v>975.79500000000007</v>
      </c>
      <c r="DL38" s="5">
        <v>212.2885</v>
      </c>
      <c r="DM38" s="5">
        <v>2115.5</v>
      </c>
      <c r="DN38" s="5">
        <v>73.58</v>
      </c>
      <c r="DO38" s="5">
        <v>73.159999999999897</v>
      </c>
      <c r="DP38" s="5">
        <v>100.35</v>
      </c>
    </row>
    <row r="39" spans="1:120" x14ac:dyDescent="0.35">
      <c r="A39">
        <v>2018</v>
      </c>
      <c r="B39">
        <v>1</v>
      </c>
      <c r="C39" s="11">
        <v>894.15009999999995</v>
      </c>
      <c r="D39" s="5">
        <v>5663</v>
      </c>
      <c r="E39" s="5">
        <v>2200</v>
      </c>
      <c r="F39" s="11">
        <v>2.5740909090909092</v>
      </c>
      <c r="G39" s="5">
        <v>164.55600000000001</v>
      </c>
      <c r="H39" s="5">
        <v>2129</v>
      </c>
      <c r="I39" s="6">
        <v>52.17</v>
      </c>
      <c r="J39" s="5">
        <v>864283.3</v>
      </c>
      <c r="K39" s="5">
        <v>135</v>
      </c>
      <c r="L39" s="5">
        <v>10.24</v>
      </c>
      <c r="M39" s="5">
        <v>125</v>
      </c>
      <c r="N39" s="5">
        <v>46647.810717</v>
      </c>
      <c r="O39" s="5">
        <v>894.15009999999995</v>
      </c>
      <c r="P39" s="5">
        <v>46647.810717</v>
      </c>
      <c r="Q39" s="5">
        <v>847000.65071700001</v>
      </c>
      <c r="R39" s="5">
        <v>800352.84</v>
      </c>
      <c r="S39" s="5">
        <v>103588.1795826891</v>
      </c>
      <c r="T39" s="5">
        <v>0.12230000000000001</v>
      </c>
      <c r="U39" s="5">
        <v>847000.65071700001</v>
      </c>
      <c r="V39" s="5">
        <v>181556.206012896</v>
      </c>
      <c r="W39" s="5">
        <v>3.0668000000000002E-3</v>
      </c>
      <c r="X39" s="5">
        <v>59200536.719999999</v>
      </c>
      <c r="Y39" s="5">
        <v>945.53200000000004</v>
      </c>
      <c r="Z39" s="5">
        <v>12804</v>
      </c>
      <c r="AA39" s="5">
        <v>1207.269</v>
      </c>
      <c r="AB39" s="5">
        <v>1404.8389999999999</v>
      </c>
      <c r="AC39" s="5">
        <v>1787.3</v>
      </c>
      <c r="AD39" s="5">
        <v>5.7000000000000002E-2</v>
      </c>
      <c r="AE39" s="5">
        <v>1474.2042000000001</v>
      </c>
      <c r="AF39" s="5">
        <v>1618194</v>
      </c>
      <c r="AG39" s="5">
        <v>57365.320079999998</v>
      </c>
      <c r="AH39" s="5">
        <v>59200536.719999999</v>
      </c>
      <c r="AI39" s="5">
        <v>181556.206012896</v>
      </c>
      <c r="AJ39" s="5">
        <v>1404839</v>
      </c>
      <c r="AK39" s="5">
        <v>54878.896999999997</v>
      </c>
      <c r="AL39" s="5">
        <v>13024.9</v>
      </c>
      <c r="AM39" s="5">
        <v>12804</v>
      </c>
      <c r="AN39" s="5">
        <v>267.67054899999999</v>
      </c>
      <c r="AO39" s="5">
        <v>55.325000000000003</v>
      </c>
      <c r="AP39" s="5">
        <v>3.3049211619008916</v>
      </c>
      <c r="AQ39" s="5">
        <v>48693.88</v>
      </c>
      <c r="AR39" s="5">
        <v>413</v>
      </c>
      <c r="AS39" s="5">
        <v>6400</v>
      </c>
      <c r="AT39" s="5">
        <v>14481</v>
      </c>
      <c r="AU39" s="5">
        <v>92678400</v>
      </c>
      <c r="AV39" s="5">
        <v>-37760.280000001192</v>
      </c>
      <c r="AW39" s="5">
        <v>57365.320079999998</v>
      </c>
      <c r="AX39" s="5">
        <v>54878.896999999997</v>
      </c>
      <c r="AY39" s="5">
        <v>2486.4230800000005</v>
      </c>
      <c r="AZ39" s="5">
        <v>6512</v>
      </c>
      <c r="BA39" s="5">
        <v>11535</v>
      </c>
      <c r="BB39" s="5">
        <v>12054</v>
      </c>
      <c r="BC39" s="5">
        <v>5663</v>
      </c>
      <c r="BD39" s="52" t="s">
        <v>355</v>
      </c>
      <c r="BE39" s="5">
        <v>11535</v>
      </c>
      <c r="BF39" s="5">
        <v>1474.2042000000001</v>
      </c>
      <c r="BG39" s="5">
        <v>750</v>
      </c>
      <c r="BH39" s="5">
        <v>750</v>
      </c>
      <c r="BI39" s="5">
        <v>12054</v>
      </c>
      <c r="BJ39" s="5">
        <v>6512</v>
      </c>
      <c r="BK39" s="5">
        <v>4813</v>
      </c>
      <c r="BL39" s="5">
        <v>1474.2042000000001</v>
      </c>
      <c r="BM39" s="5">
        <v>5465218.4500000002</v>
      </c>
      <c r="BN39" s="5">
        <v>5946</v>
      </c>
      <c r="BO39" s="5">
        <v>46647.810717</v>
      </c>
      <c r="BP39" s="5">
        <v>800352.84</v>
      </c>
      <c r="BQ39" s="5">
        <v>847000.65071700001</v>
      </c>
      <c r="BR39" s="5">
        <v>1404.8389999999999</v>
      </c>
      <c r="BS39" s="5">
        <v>5465218.4500000002</v>
      </c>
      <c r="BT39" s="5">
        <v>5136184.5999999996</v>
      </c>
      <c r="BU39" s="5">
        <v>4.2695880682185059E-3</v>
      </c>
      <c r="BV39" s="5" t="s">
        <v>355</v>
      </c>
      <c r="BW39" s="5">
        <v>750</v>
      </c>
      <c r="BX39" s="5">
        <v>46647.810717</v>
      </c>
      <c r="BY39" s="5">
        <v>800352.84</v>
      </c>
      <c r="BZ39" s="5">
        <v>847000.65071700001</v>
      </c>
      <c r="CA39" s="5">
        <v>6121.7030000000004</v>
      </c>
      <c r="CB39" s="5">
        <v>18767.935000000001</v>
      </c>
      <c r="CC39" s="5">
        <v>4457.2</v>
      </c>
      <c r="CD39" s="5">
        <v>128000</v>
      </c>
      <c r="CE39" s="5">
        <v>312722</v>
      </c>
      <c r="CF39" s="5">
        <v>20231833</v>
      </c>
      <c r="CG39" s="5">
        <v>51.46</v>
      </c>
      <c r="CH39" s="5">
        <v>2337500</v>
      </c>
      <c r="CI39" s="5">
        <v>139</v>
      </c>
      <c r="CJ39" s="5">
        <v>4457200</v>
      </c>
      <c r="CK39" s="5">
        <v>128000</v>
      </c>
      <c r="CL39" s="5">
        <v>312722</v>
      </c>
      <c r="CM39" s="5">
        <v>1618194</v>
      </c>
      <c r="CN39" s="43">
        <v>-1563315.1030000001</v>
      </c>
      <c r="CO39" s="5">
        <v>1485627</v>
      </c>
      <c r="CP39" s="5">
        <v>0</v>
      </c>
      <c r="CQ39" s="5">
        <v>6300</v>
      </c>
      <c r="CR39" s="5">
        <v>69.81</v>
      </c>
      <c r="CS39" s="5">
        <v>77.41</v>
      </c>
      <c r="CT39" s="5">
        <v>515</v>
      </c>
      <c r="CU39" s="5">
        <v>94.39</v>
      </c>
      <c r="CV39" s="5">
        <v>3893</v>
      </c>
      <c r="CW39" s="5">
        <v>37624.089999999997</v>
      </c>
      <c r="CX39" s="5">
        <v>67.209999999999994</v>
      </c>
      <c r="CY39" s="5">
        <v>69.81</v>
      </c>
      <c r="CZ39" s="5">
        <v>77.41</v>
      </c>
      <c r="DA39" s="5">
        <v>515</v>
      </c>
      <c r="DB39" s="5">
        <v>94.39</v>
      </c>
      <c r="DC39" s="5">
        <v>3893</v>
      </c>
      <c r="DD39" s="5">
        <v>37624.089999999997</v>
      </c>
      <c r="DE39" s="5">
        <v>109.36</v>
      </c>
      <c r="DF39" s="5">
        <v>975.96</v>
      </c>
      <c r="DG39" s="5">
        <v>74.599999999999994</v>
      </c>
      <c r="DH39" s="5">
        <v>73.319999999999894</v>
      </c>
      <c r="DI39" s="5">
        <v>102.98</v>
      </c>
      <c r="DJ39" s="5">
        <v>109.36</v>
      </c>
      <c r="DK39" s="5">
        <v>975.96</v>
      </c>
      <c r="DL39" s="5">
        <v>164.55600000000001</v>
      </c>
      <c r="DM39" s="5">
        <v>2129</v>
      </c>
      <c r="DN39" s="5">
        <v>74.599999999999994</v>
      </c>
      <c r="DO39" s="5">
        <v>73.319999999999894</v>
      </c>
      <c r="DP39" s="5">
        <v>102.98</v>
      </c>
    </row>
    <row r="40" spans="1:120" x14ac:dyDescent="0.35">
      <c r="B40">
        <v>2</v>
      </c>
      <c r="C40" s="11">
        <v>854.62304999999992</v>
      </c>
      <c r="D40" s="5">
        <v>5683</v>
      </c>
      <c r="E40" s="5">
        <v>2225</v>
      </c>
      <c r="F40" s="11">
        <v>2.5543787878787878</v>
      </c>
      <c r="G40" s="5">
        <v>171.464</v>
      </c>
      <c r="H40" s="5">
        <v>2325.5</v>
      </c>
      <c r="I40" s="11">
        <v>50.650000000000006</v>
      </c>
      <c r="J40" s="5">
        <v>879216.7</v>
      </c>
      <c r="K40" s="5">
        <v>134</v>
      </c>
      <c r="L40" s="5">
        <v>10.844999999999999</v>
      </c>
      <c r="M40" s="5">
        <v>130</v>
      </c>
      <c r="N40" s="5">
        <v>43346.7385985</v>
      </c>
      <c r="O40" s="5">
        <v>854.62304999999992</v>
      </c>
      <c r="P40" s="5">
        <v>43346.7385985</v>
      </c>
      <c r="Q40" s="5">
        <v>788220.80859849998</v>
      </c>
      <c r="R40" s="5">
        <v>744874.07000000007</v>
      </c>
      <c r="S40" s="5">
        <v>95597.019828468561</v>
      </c>
      <c r="T40" s="5">
        <v>0.1212</v>
      </c>
      <c r="U40" s="5">
        <v>788220.80859849998</v>
      </c>
      <c r="V40" s="5">
        <v>179689.85537887001</v>
      </c>
      <c r="W40" s="5">
        <v>3.1616999999999999E-3</v>
      </c>
      <c r="X40" s="5">
        <v>56902286.530000001</v>
      </c>
      <c r="Y40" s="5">
        <v>1569.7485000000001</v>
      </c>
      <c r="Z40" s="5">
        <v>12847.5</v>
      </c>
      <c r="AA40" s="5">
        <v>779.55849999999998</v>
      </c>
      <c r="AB40" s="5">
        <v>1253.7244999999998</v>
      </c>
      <c r="AC40" s="5">
        <v>1564.932</v>
      </c>
      <c r="AD40" s="5">
        <v>5.3500000000000006E-2</v>
      </c>
      <c r="AE40" s="5">
        <v>1463.1666500000001</v>
      </c>
      <c r="AF40" s="5">
        <v>1281863</v>
      </c>
      <c r="AG40" s="5">
        <v>55138.315644999995</v>
      </c>
      <c r="AH40" s="5">
        <v>56902286.530000001</v>
      </c>
      <c r="AI40" s="5">
        <v>179689.85537887001</v>
      </c>
      <c r="AJ40" s="5">
        <v>1253724.5</v>
      </c>
      <c r="AK40" s="5">
        <v>51847.452499999999</v>
      </c>
      <c r="AL40" s="5">
        <v>13070.9</v>
      </c>
      <c r="AM40" s="5">
        <v>12847.5</v>
      </c>
      <c r="AN40" s="5">
        <v>269.14805799999999</v>
      </c>
      <c r="AO40" s="5">
        <v>55.655000000000001</v>
      </c>
      <c r="AP40" s="5">
        <v>3.3050287404222654</v>
      </c>
      <c r="AQ40" s="5">
        <v>51786.388500000001</v>
      </c>
      <c r="AR40" s="5">
        <v>426</v>
      </c>
      <c r="AS40" s="5">
        <v>6450</v>
      </c>
      <c r="AT40" s="5">
        <v>14191</v>
      </c>
      <c r="AU40" s="5">
        <v>91517450</v>
      </c>
      <c r="AV40" s="5">
        <v>-2317130.3299999982</v>
      </c>
      <c r="AW40" s="5">
        <v>55138.315644999995</v>
      </c>
      <c r="AX40" s="5">
        <v>51847.452499999999</v>
      </c>
      <c r="AY40" s="5">
        <v>3290.8631449999993</v>
      </c>
      <c r="AZ40" s="5">
        <v>6535</v>
      </c>
      <c r="BA40" s="5">
        <v>11794.5</v>
      </c>
      <c r="BB40" s="5">
        <v>12072.5</v>
      </c>
      <c r="BC40" s="5">
        <v>5683</v>
      </c>
      <c r="BD40" s="52" t="s">
        <v>355</v>
      </c>
      <c r="BE40" s="5">
        <v>11794.5</v>
      </c>
      <c r="BF40" s="5">
        <v>1463.1666500000001</v>
      </c>
      <c r="BG40" s="5">
        <v>775</v>
      </c>
      <c r="BH40" s="5">
        <v>775</v>
      </c>
      <c r="BI40" s="5">
        <v>12072.5</v>
      </c>
      <c r="BJ40" s="5">
        <v>6535</v>
      </c>
      <c r="BK40" s="5">
        <v>4830</v>
      </c>
      <c r="BL40" s="5">
        <v>1463.1666500000001</v>
      </c>
      <c r="BM40" s="5">
        <v>5079390.625</v>
      </c>
      <c r="BN40" s="5">
        <v>5967</v>
      </c>
      <c r="BO40" s="5">
        <v>43346.7385985</v>
      </c>
      <c r="BP40" s="5">
        <v>744874.07000000007</v>
      </c>
      <c r="BQ40" s="5">
        <v>788220.80859849998</v>
      </c>
      <c r="BR40" s="5">
        <v>1253.7244999999998</v>
      </c>
      <c r="BS40" s="5">
        <v>5079390.625</v>
      </c>
      <c r="BT40" s="5">
        <v>5300701.5250000004</v>
      </c>
      <c r="BU40" s="5">
        <v>1.420349709104959E-3</v>
      </c>
      <c r="BV40" s="5" t="s">
        <v>355</v>
      </c>
      <c r="BW40" s="5">
        <v>775</v>
      </c>
      <c r="BX40" s="5">
        <v>43346.7385985</v>
      </c>
      <c r="BY40" s="5">
        <v>744874.07000000007</v>
      </c>
      <c r="BZ40" s="5">
        <v>788220.80859849998</v>
      </c>
      <c r="CA40" s="5">
        <v>6000.7479999999996</v>
      </c>
      <c r="CB40" s="5">
        <v>19518.652399999999</v>
      </c>
      <c r="CC40" s="5">
        <v>4448.3999999999996</v>
      </c>
      <c r="CD40" s="5">
        <v>132000</v>
      </c>
      <c r="CE40" s="5">
        <v>331821.5</v>
      </c>
      <c r="CF40" s="5">
        <v>20331678.5</v>
      </c>
      <c r="CG40" s="5">
        <v>50.44</v>
      </c>
      <c r="CH40" s="5">
        <v>2236750</v>
      </c>
      <c r="CI40" s="5">
        <v>141.5</v>
      </c>
      <c r="CJ40" s="5">
        <v>4448400</v>
      </c>
      <c r="CK40" s="5">
        <v>132000</v>
      </c>
      <c r="CL40" s="5">
        <v>331821.5</v>
      </c>
      <c r="CM40" s="5">
        <v>1281863</v>
      </c>
      <c r="CN40" s="43">
        <v>-1230015.5475000001</v>
      </c>
      <c r="CO40" s="5">
        <v>1636463.5</v>
      </c>
      <c r="CP40" s="5">
        <v>0</v>
      </c>
      <c r="CQ40" s="5">
        <v>6350</v>
      </c>
      <c r="CR40" s="5">
        <v>75.625</v>
      </c>
      <c r="CS40" s="5">
        <v>77.539999999999992</v>
      </c>
      <c r="CT40" s="5">
        <v>513</v>
      </c>
      <c r="CU40" s="5">
        <v>94.41</v>
      </c>
      <c r="CV40" s="5">
        <v>4014</v>
      </c>
      <c r="CW40" s="5">
        <v>33814.869999999995</v>
      </c>
      <c r="CX40" s="5">
        <v>68.509999999999991</v>
      </c>
      <c r="CY40" s="5">
        <v>75.625</v>
      </c>
      <c r="CZ40" s="5">
        <v>77.539999999999992</v>
      </c>
      <c r="DA40" s="5">
        <v>513</v>
      </c>
      <c r="DB40" s="5">
        <v>94.41</v>
      </c>
      <c r="DC40" s="5">
        <v>4014</v>
      </c>
      <c r="DD40" s="5">
        <v>33814.869999999995</v>
      </c>
      <c r="DE40" s="5">
        <v>106.10499999999999</v>
      </c>
      <c r="DF40" s="5">
        <v>976.04500000000007</v>
      </c>
      <c r="DG40" s="5">
        <v>70.894999999999996</v>
      </c>
      <c r="DH40" s="5">
        <v>73.479999999999905</v>
      </c>
      <c r="DI40" s="5">
        <v>106.17</v>
      </c>
      <c r="DJ40" s="5">
        <v>106.10499999999999</v>
      </c>
      <c r="DK40" s="5">
        <v>976.04500000000007</v>
      </c>
      <c r="DL40" s="5">
        <v>171.464</v>
      </c>
      <c r="DM40" s="5">
        <v>2325.5</v>
      </c>
      <c r="DN40" s="5">
        <v>70.894999999999996</v>
      </c>
      <c r="DO40" s="5">
        <v>73.479999999999905</v>
      </c>
      <c r="DP40" s="5">
        <v>106.17</v>
      </c>
    </row>
    <row r="41" spans="1:120" x14ac:dyDescent="0.35">
      <c r="A41">
        <v>2019</v>
      </c>
      <c r="B41">
        <v>1</v>
      </c>
      <c r="C41" s="11">
        <v>815.096</v>
      </c>
      <c r="D41" s="5">
        <v>5703</v>
      </c>
      <c r="E41" s="5">
        <v>2250</v>
      </c>
      <c r="F41" s="11">
        <v>2.5346666666666668</v>
      </c>
      <c r="G41" s="5">
        <v>178.37200000000001</v>
      </c>
      <c r="H41" s="5">
        <v>2522</v>
      </c>
      <c r="I41" s="6">
        <v>49.13</v>
      </c>
      <c r="J41" s="5">
        <v>894150.1</v>
      </c>
      <c r="K41" s="5">
        <v>133</v>
      </c>
      <c r="L41" s="5">
        <v>11.45</v>
      </c>
      <c r="M41" s="5">
        <v>135</v>
      </c>
      <c r="N41" s="5">
        <v>40045.66648</v>
      </c>
      <c r="O41" s="5">
        <v>815.096</v>
      </c>
      <c r="P41" s="5">
        <v>40045.66648</v>
      </c>
      <c r="Q41" s="5">
        <v>729440.96648000006</v>
      </c>
      <c r="R41" s="5">
        <v>689395.3</v>
      </c>
      <c r="S41" s="5">
        <v>87605.860074248005</v>
      </c>
      <c r="T41" s="5">
        <v>0.1201</v>
      </c>
      <c r="U41" s="5">
        <v>729440.96648000006</v>
      </c>
      <c r="V41" s="5">
        <v>177823.50474484402</v>
      </c>
      <c r="W41" s="5">
        <v>3.2566000000000001E-3</v>
      </c>
      <c r="X41" s="5">
        <v>54604036.340000004</v>
      </c>
      <c r="Y41" s="5">
        <v>2193.9650000000001</v>
      </c>
      <c r="Z41" s="5">
        <v>12891</v>
      </c>
      <c r="AA41" s="5">
        <v>351.84800000000001</v>
      </c>
      <c r="AB41" s="5">
        <v>1102.6099999999999</v>
      </c>
      <c r="AC41" s="5">
        <v>1342.5640000000001</v>
      </c>
      <c r="AD41" s="5">
        <v>0.05</v>
      </c>
      <c r="AE41" s="5">
        <v>1452.1290999999999</v>
      </c>
      <c r="AF41" s="5">
        <v>945532</v>
      </c>
      <c r="AG41" s="5">
        <v>52911.31121</v>
      </c>
      <c r="AH41" s="5">
        <v>54604036.340000004</v>
      </c>
      <c r="AI41" s="5">
        <v>177823.50474484402</v>
      </c>
      <c r="AJ41" s="5">
        <v>1102610</v>
      </c>
      <c r="AK41" s="5">
        <v>48816.008000000002</v>
      </c>
      <c r="AL41" s="5">
        <v>13116.9</v>
      </c>
      <c r="AM41" s="5">
        <v>12891</v>
      </c>
      <c r="AN41" s="5">
        <v>270.62556699999999</v>
      </c>
      <c r="AO41" s="5">
        <v>55.984999999999999</v>
      </c>
      <c r="AP41" s="5">
        <v>3.3051363189436391</v>
      </c>
      <c r="AQ41" s="5">
        <v>54878.896999999997</v>
      </c>
      <c r="AR41" s="5">
        <v>439</v>
      </c>
      <c r="AS41" s="5">
        <v>6500</v>
      </c>
      <c r="AT41" s="5">
        <v>13901</v>
      </c>
      <c r="AU41" s="5">
        <v>90356500</v>
      </c>
      <c r="AV41" s="5">
        <v>-4596500.3799999952</v>
      </c>
      <c r="AW41" s="5">
        <v>52911.31121</v>
      </c>
      <c r="AX41" s="5">
        <v>48816.008000000002</v>
      </c>
      <c r="AY41" s="5">
        <v>4095.3032099999982</v>
      </c>
      <c r="AZ41" s="5">
        <v>6558</v>
      </c>
      <c r="BA41" s="5">
        <v>12054</v>
      </c>
      <c r="BB41" s="5">
        <v>12091</v>
      </c>
      <c r="BC41" s="5">
        <v>5703</v>
      </c>
      <c r="BD41" s="52" t="s">
        <v>356</v>
      </c>
      <c r="BE41" s="5">
        <v>12054</v>
      </c>
      <c r="BF41" s="5">
        <v>1452.1290999999999</v>
      </c>
      <c r="BG41" s="5">
        <v>800</v>
      </c>
      <c r="BH41" s="5">
        <v>800</v>
      </c>
      <c r="BI41" s="5">
        <v>12091</v>
      </c>
      <c r="BJ41" s="5">
        <v>6558</v>
      </c>
      <c r="BK41" s="5">
        <v>4847</v>
      </c>
      <c r="BL41" s="5">
        <v>1452.1290999999999</v>
      </c>
      <c r="BM41" s="5">
        <v>4693562.8</v>
      </c>
      <c r="BN41" s="5">
        <v>5988</v>
      </c>
      <c r="BO41" s="5">
        <v>40045.66648</v>
      </c>
      <c r="BP41" s="5">
        <v>689395.3</v>
      </c>
      <c r="BQ41" s="5">
        <v>729440.96648000006</v>
      </c>
      <c r="BR41" s="5">
        <v>1102.6099999999999</v>
      </c>
      <c r="BS41" s="5">
        <v>4693562.8</v>
      </c>
      <c r="BT41" s="5">
        <v>5465218.4500000002</v>
      </c>
      <c r="BU41" s="5">
        <v>-1.4288886500085879E-3</v>
      </c>
      <c r="BV41" s="5" t="s">
        <v>356</v>
      </c>
      <c r="BW41" s="5">
        <v>800</v>
      </c>
      <c r="BX41" s="5">
        <v>40045.66648</v>
      </c>
      <c r="BY41" s="5">
        <v>689395.3</v>
      </c>
      <c r="BZ41" s="5">
        <v>729440.96648000006</v>
      </c>
      <c r="CA41" s="5">
        <v>5879.7929999999997</v>
      </c>
      <c r="CB41" s="5">
        <v>20269.3698</v>
      </c>
      <c r="CC41" s="5">
        <v>4439.6000000000004</v>
      </c>
      <c r="CD41" s="5">
        <v>136000</v>
      </c>
      <c r="CE41" s="5">
        <v>350921</v>
      </c>
      <c r="CF41" s="5">
        <v>20431524</v>
      </c>
      <c r="CG41" s="5">
        <v>49.42</v>
      </c>
      <c r="CH41" s="5">
        <v>2136000</v>
      </c>
      <c r="CI41" s="5">
        <v>144</v>
      </c>
      <c r="CJ41" s="5">
        <v>4439600</v>
      </c>
      <c r="CK41" s="5">
        <v>136000</v>
      </c>
      <c r="CL41" s="5">
        <v>350921</v>
      </c>
      <c r="CM41" s="5">
        <v>945532</v>
      </c>
      <c r="CN41" s="43">
        <v>-896715.99199999997</v>
      </c>
      <c r="CO41" s="5">
        <v>1787300</v>
      </c>
      <c r="CP41" s="5">
        <v>0</v>
      </c>
      <c r="CQ41" s="5">
        <v>6400</v>
      </c>
      <c r="CR41" s="5">
        <v>81.44</v>
      </c>
      <c r="CS41" s="5">
        <v>77.67</v>
      </c>
      <c r="CT41" s="5">
        <v>511</v>
      </c>
      <c r="CU41" s="5">
        <v>94.43</v>
      </c>
      <c r="CV41" s="5">
        <v>4135</v>
      </c>
      <c r="CW41" s="5">
        <v>30005.65</v>
      </c>
      <c r="CX41" s="5">
        <v>69.81</v>
      </c>
      <c r="CY41" s="5">
        <v>81.44</v>
      </c>
      <c r="CZ41" s="5">
        <v>77.67</v>
      </c>
      <c r="DA41" s="5">
        <v>511</v>
      </c>
      <c r="DB41" s="5">
        <v>94.43</v>
      </c>
      <c r="DC41" s="5">
        <v>4135</v>
      </c>
      <c r="DD41" s="5">
        <v>30005.65</v>
      </c>
      <c r="DE41" s="5">
        <v>102.85</v>
      </c>
      <c r="DF41" s="5">
        <v>976.13</v>
      </c>
      <c r="DG41" s="5">
        <v>67.19</v>
      </c>
      <c r="DH41" s="5">
        <v>73.639999999999901</v>
      </c>
      <c r="DI41" s="5">
        <v>109.36</v>
      </c>
      <c r="DJ41" s="5">
        <v>102.85</v>
      </c>
      <c r="DK41" s="5">
        <v>976.13</v>
      </c>
      <c r="DL41" s="5">
        <v>178.37200000000001</v>
      </c>
      <c r="DM41" s="5">
        <v>2522</v>
      </c>
      <c r="DN41" s="5">
        <v>67.19</v>
      </c>
      <c r="DO41" s="5">
        <v>73.639999999999901</v>
      </c>
      <c r="DP41" s="5">
        <v>109.36</v>
      </c>
    </row>
    <row r="42" spans="1:120" x14ac:dyDescent="0.35">
      <c r="B42">
        <v>2</v>
      </c>
      <c r="C42" s="11">
        <v>835.47340000000008</v>
      </c>
      <c r="D42" s="5">
        <v>5546</v>
      </c>
      <c r="E42" s="5">
        <v>2325</v>
      </c>
      <c r="F42" s="11">
        <v>2.3900416666666668</v>
      </c>
      <c r="G42" s="5">
        <v>182.83100000000002</v>
      </c>
      <c r="H42" s="5">
        <v>2407.5</v>
      </c>
      <c r="I42" s="11">
        <v>49.695</v>
      </c>
      <c r="J42" s="5">
        <v>854623.05</v>
      </c>
      <c r="K42" s="5">
        <v>130</v>
      </c>
      <c r="L42" s="5">
        <v>11.614999999999998</v>
      </c>
      <c r="M42" s="5">
        <v>134</v>
      </c>
      <c r="N42" s="5">
        <v>41530.363844</v>
      </c>
      <c r="O42" s="5">
        <v>835.47340000000008</v>
      </c>
      <c r="P42" s="5">
        <v>41530.363844</v>
      </c>
      <c r="Q42" s="5">
        <v>735062.03384399996</v>
      </c>
      <c r="R42" s="5">
        <v>693531.67</v>
      </c>
      <c r="S42" s="5">
        <v>87836.540403939609</v>
      </c>
      <c r="T42" s="5">
        <v>0.1195</v>
      </c>
      <c r="U42" s="5">
        <v>735062.03384399996</v>
      </c>
      <c r="V42" s="5">
        <v>171167.00815485802</v>
      </c>
      <c r="W42" s="5">
        <v>3.1334500000000003E-3</v>
      </c>
      <c r="X42" s="5">
        <v>54626622.290000007</v>
      </c>
      <c r="Y42" s="5">
        <v>1813.3120725000001</v>
      </c>
      <c r="Z42" s="5">
        <v>13013.5</v>
      </c>
      <c r="AA42" s="5">
        <v>1815.03</v>
      </c>
      <c r="AB42" s="5">
        <v>1167.7145</v>
      </c>
      <c r="AC42" s="5">
        <v>1288.5965000000001</v>
      </c>
      <c r="AD42" s="5">
        <v>0.05</v>
      </c>
      <c r="AE42" s="5">
        <v>1457.9535000000001</v>
      </c>
      <c r="AF42" s="5">
        <v>1569748.5</v>
      </c>
      <c r="AG42" s="5">
        <v>52933.196995000006</v>
      </c>
      <c r="AH42" s="5">
        <v>54626622.290000007</v>
      </c>
      <c r="AI42" s="5">
        <v>171167.00815485802</v>
      </c>
      <c r="AJ42" s="5">
        <v>1167714.5</v>
      </c>
      <c r="AK42" s="5">
        <v>42934.085500000001</v>
      </c>
      <c r="AL42" s="5">
        <v>12755.8</v>
      </c>
      <c r="AM42" s="5">
        <v>13013.5</v>
      </c>
      <c r="AN42" s="5">
        <v>272.07459399999999</v>
      </c>
      <c r="AO42" s="5">
        <v>56.313000000000002</v>
      </c>
      <c r="AP42" s="5">
        <v>3.3052438441951315</v>
      </c>
      <c r="AQ42" s="5">
        <v>51847.452499999999</v>
      </c>
      <c r="AR42" s="5">
        <v>445.75</v>
      </c>
      <c r="AS42" s="5">
        <v>6700</v>
      </c>
      <c r="AT42" s="5">
        <v>14003</v>
      </c>
      <c r="AU42" s="5">
        <v>93840500</v>
      </c>
      <c r="AV42" s="5">
        <v>-2275664.2399999984</v>
      </c>
      <c r="AW42" s="5">
        <v>52933.196995000006</v>
      </c>
      <c r="AX42" s="5">
        <v>42934.085500000001</v>
      </c>
      <c r="AY42" s="5">
        <v>9999.111495000001</v>
      </c>
      <c r="AZ42" s="5">
        <v>6377.5</v>
      </c>
      <c r="BA42" s="5">
        <v>12072.5</v>
      </c>
      <c r="BB42" s="5">
        <v>12201</v>
      </c>
      <c r="BC42" s="5">
        <v>5546</v>
      </c>
      <c r="BD42" s="52" t="s">
        <v>356</v>
      </c>
      <c r="BE42" s="5">
        <v>12072.5</v>
      </c>
      <c r="BF42" s="5">
        <v>1457.9535000000001</v>
      </c>
      <c r="BG42" s="5">
        <v>812.5</v>
      </c>
      <c r="BH42" s="5">
        <v>812.5</v>
      </c>
      <c r="BI42" s="5">
        <v>12201</v>
      </c>
      <c r="BJ42" s="5">
        <v>6377.5</v>
      </c>
      <c r="BK42" s="5">
        <v>4815</v>
      </c>
      <c r="BL42" s="5">
        <v>1457.9535000000001</v>
      </c>
      <c r="BM42" s="5">
        <v>4937949.22</v>
      </c>
      <c r="BN42" s="5">
        <v>5823</v>
      </c>
      <c r="BO42" s="5">
        <v>41530.363844</v>
      </c>
      <c r="BP42" s="5">
        <v>693531.67</v>
      </c>
      <c r="BQ42" s="5">
        <v>735062.03384399996</v>
      </c>
      <c r="BR42" s="5">
        <v>1167.7145</v>
      </c>
      <c r="BS42" s="5">
        <v>4937949.22</v>
      </c>
      <c r="BT42" s="5">
        <v>5079390.625</v>
      </c>
      <c r="BU42" s="5">
        <v>5.4669264815485324E-4</v>
      </c>
      <c r="BV42" s="5" t="s">
        <v>356</v>
      </c>
      <c r="BW42" s="5">
        <v>812.5</v>
      </c>
      <c r="BX42" s="5">
        <v>41530.363844</v>
      </c>
      <c r="BY42" s="5">
        <v>693531.67</v>
      </c>
      <c r="BZ42" s="5">
        <v>735062.03384399996</v>
      </c>
      <c r="CA42" s="5">
        <v>5690.9809999999998</v>
      </c>
      <c r="CB42" s="5">
        <v>22093.613082</v>
      </c>
      <c r="CC42" s="5">
        <v>4759.8</v>
      </c>
      <c r="CD42" s="5">
        <v>148500</v>
      </c>
      <c r="CE42" s="5">
        <v>366973.5</v>
      </c>
      <c r="CF42" s="5">
        <v>22389950.5</v>
      </c>
      <c r="CG42" s="5">
        <v>49.984999999999999</v>
      </c>
      <c r="CH42" s="5">
        <v>2298000</v>
      </c>
      <c r="CI42" s="5">
        <v>141</v>
      </c>
      <c r="CJ42" s="5">
        <v>4759800</v>
      </c>
      <c r="CK42" s="5">
        <v>148500</v>
      </c>
      <c r="CL42" s="5">
        <v>366973.5</v>
      </c>
      <c r="CM42" s="5">
        <v>1569748.5</v>
      </c>
      <c r="CN42" s="43">
        <v>-1526814.4145</v>
      </c>
      <c r="CO42" s="5">
        <v>1564932</v>
      </c>
      <c r="CP42" s="5">
        <v>0</v>
      </c>
      <c r="CQ42" s="5">
        <v>6450</v>
      </c>
      <c r="CR42" s="5">
        <v>76.64</v>
      </c>
      <c r="CS42" s="5">
        <v>77.94</v>
      </c>
      <c r="CT42" s="5">
        <v>502.5</v>
      </c>
      <c r="CU42" s="5">
        <v>94.855000000000004</v>
      </c>
      <c r="CV42" s="5">
        <v>4002</v>
      </c>
      <c r="CW42" s="5">
        <v>30005.65</v>
      </c>
      <c r="CX42" s="5">
        <v>75.625</v>
      </c>
      <c r="CY42" s="5">
        <v>76.64</v>
      </c>
      <c r="CZ42" s="5">
        <v>77.94</v>
      </c>
      <c r="DA42" s="5">
        <v>502.5</v>
      </c>
      <c r="DB42" s="5">
        <v>94.855000000000004</v>
      </c>
      <c r="DC42" s="5">
        <v>4002</v>
      </c>
      <c r="DD42" s="5">
        <v>30005.65</v>
      </c>
      <c r="DE42" s="5">
        <v>104.66499999999999</v>
      </c>
      <c r="DF42" s="5">
        <v>976.07500000000005</v>
      </c>
      <c r="DG42" s="5">
        <v>69.94</v>
      </c>
      <c r="DH42" s="5">
        <v>73.799999999999898</v>
      </c>
      <c r="DI42" s="5">
        <v>106.10499999999999</v>
      </c>
      <c r="DJ42" s="5">
        <v>104.66499999999999</v>
      </c>
      <c r="DK42" s="5">
        <v>976.07500000000005</v>
      </c>
      <c r="DL42" s="5">
        <v>182.83100000000002</v>
      </c>
      <c r="DM42" s="5">
        <v>2407.5</v>
      </c>
      <c r="DN42" s="5">
        <v>69.94</v>
      </c>
      <c r="DO42" s="5">
        <v>73.799999999999898</v>
      </c>
      <c r="DP42" s="5">
        <v>106.10499999999999</v>
      </c>
    </row>
    <row r="43" spans="1:120" x14ac:dyDescent="0.35">
      <c r="A43">
        <v>2020</v>
      </c>
      <c r="B43">
        <v>1</v>
      </c>
      <c r="C43" s="11">
        <v>855.85080000000005</v>
      </c>
      <c r="D43" s="5">
        <v>5389</v>
      </c>
      <c r="E43" s="5">
        <v>2400</v>
      </c>
      <c r="F43" s="11">
        <v>2.2454166666666668</v>
      </c>
      <c r="G43" s="5">
        <v>187.29</v>
      </c>
      <c r="H43" s="5">
        <v>2293</v>
      </c>
      <c r="I43" s="6">
        <v>50.26</v>
      </c>
      <c r="J43" s="5">
        <v>815096</v>
      </c>
      <c r="K43" s="5">
        <v>127</v>
      </c>
      <c r="L43" s="5">
        <v>11.78</v>
      </c>
      <c r="M43" s="5">
        <v>133</v>
      </c>
      <c r="N43" s="5">
        <v>43015.061207999999</v>
      </c>
      <c r="O43" s="5">
        <v>855.85080000000005</v>
      </c>
      <c r="P43" s="5">
        <v>43015.061207999999</v>
      </c>
      <c r="Q43" s="5">
        <v>740683.10120799998</v>
      </c>
      <c r="R43" s="5">
        <v>697668.04</v>
      </c>
      <c r="S43" s="5">
        <v>88067.220733631199</v>
      </c>
      <c r="T43" s="5">
        <v>0.11890000000000001</v>
      </c>
      <c r="U43" s="5">
        <v>740683.10120799998</v>
      </c>
      <c r="V43" s="5">
        <v>164510.51156487199</v>
      </c>
      <c r="W43" s="5">
        <v>3.0103E-3</v>
      </c>
      <c r="X43" s="5">
        <v>54649208.240000002</v>
      </c>
      <c r="Y43" s="5">
        <v>1432.6591450000001</v>
      </c>
      <c r="Z43" s="5">
        <v>13136</v>
      </c>
      <c r="AA43" s="5">
        <v>3278.212</v>
      </c>
      <c r="AB43" s="5">
        <v>1232.819</v>
      </c>
      <c r="AC43" s="5">
        <v>1234.6289999999999</v>
      </c>
      <c r="AD43" s="5">
        <v>0.05</v>
      </c>
      <c r="AE43" s="5">
        <v>1463.7779</v>
      </c>
      <c r="AF43" s="5">
        <v>2193965</v>
      </c>
      <c r="AG43" s="5">
        <v>52955.082780000004</v>
      </c>
      <c r="AH43" s="5">
        <v>54649208.240000002</v>
      </c>
      <c r="AI43" s="5">
        <v>164510.51156487199</v>
      </c>
      <c r="AJ43" s="5">
        <v>1232819</v>
      </c>
      <c r="AK43" s="5">
        <v>37052.163</v>
      </c>
      <c r="AL43" s="5">
        <v>12394.699999999999</v>
      </c>
      <c r="AM43" s="5">
        <v>13136</v>
      </c>
      <c r="AN43" s="5">
        <v>273.52362099999999</v>
      </c>
      <c r="AO43" s="5">
        <v>56.640999999999998</v>
      </c>
      <c r="AP43" s="5">
        <v>3.3053513694466239</v>
      </c>
      <c r="AQ43" s="5">
        <v>48816.008000000002</v>
      </c>
      <c r="AR43" s="5">
        <v>452.5</v>
      </c>
      <c r="AS43" s="5">
        <v>6900</v>
      </c>
      <c r="AT43" s="5">
        <v>14105</v>
      </c>
      <c r="AU43" s="5">
        <v>97324500</v>
      </c>
      <c r="AV43" s="5">
        <v>45171.89999999851</v>
      </c>
      <c r="AW43" s="5">
        <v>52955.082780000004</v>
      </c>
      <c r="AX43" s="5">
        <v>37052.163</v>
      </c>
      <c r="AY43" s="5">
        <v>15902.919780000004</v>
      </c>
      <c r="AZ43" s="5">
        <v>6197</v>
      </c>
      <c r="BA43" s="5">
        <v>12091</v>
      </c>
      <c r="BB43" s="5">
        <v>12311</v>
      </c>
      <c r="BC43" s="5">
        <v>5389</v>
      </c>
      <c r="BD43" s="52" t="s">
        <v>357</v>
      </c>
      <c r="BE43" s="5">
        <v>12091</v>
      </c>
      <c r="BF43" s="5">
        <v>1463.7779</v>
      </c>
      <c r="BG43" s="5">
        <v>825</v>
      </c>
      <c r="BH43" s="5">
        <v>825</v>
      </c>
      <c r="BI43" s="5">
        <v>12311</v>
      </c>
      <c r="BJ43" s="5">
        <v>6197</v>
      </c>
      <c r="BK43" s="5">
        <v>4783</v>
      </c>
      <c r="BL43" s="5">
        <v>1463.7779</v>
      </c>
      <c r="BM43" s="5">
        <v>5182335.6399999997</v>
      </c>
      <c r="BN43" s="5">
        <v>5658</v>
      </c>
      <c r="BO43" s="5">
        <v>43015.061207999999</v>
      </c>
      <c r="BP43" s="5">
        <v>697668.04</v>
      </c>
      <c r="BQ43" s="5">
        <v>740683.10120799998</v>
      </c>
      <c r="BR43" s="5">
        <v>1232.819</v>
      </c>
      <c r="BS43" s="5">
        <v>5182335.6399999997</v>
      </c>
      <c r="BT43" s="5">
        <v>4693562.8</v>
      </c>
      <c r="BU43" s="5">
        <v>2.5222739463182943E-3</v>
      </c>
      <c r="BV43" s="5" t="s">
        <v>357</v>
      </c>
      <c r="BW43" s="5">
        <v>825</v>
      </c>
      <c r="BX43" s="5">
        <v>43015.061207999999</v>
      </c>
      <c r="BY43" s="5">
        <v>697668.04</v>
      </c>
      <c r="BZ43" s="5">
        <v>740683.10120799998</v>
      </c>
      <c r="CA43" s="5">
        <v>5502.1689999999999</v>
      </c>
      <c r="CB43" s="5">
        <v>23917.856363999999</v>
      </c>
      <c r="CC43" s="5">
        <v>5080</v>
      </c>
      <c r="CD43" s="5">
        <v>161000</v>
      </c>
      <c r="CE43" s="5">
        <v>383026</v>
      </c>
      <c r="CF43" s="5">
        <v>24348377</v>
      </c>
      <c r="CG43" s="5">
        <v>50.55</v>
      </c>
      <c r="CH43" s="5">
        <v>2460000</v>
      </c>
      <c r="CI43" s="5">
        <v>138</v>
      </c>
      <c r="CJ43" s="5">
        <v>5080000</v>
      </c>
      <c r="CK43" s="5">
        <v>161000</v>
      </c>
      <c r="CL43" s="5">
        <v>383026</v>
      </c>
      <c r="CM43" s="5">
        <v>2193965</v>
      </c>
      <c r="CN43" s="43">
        <v>-2156912.8369999998</v>
      </c>
      <c r="CO43" s="5">
        <v>1342564</v>
      </c>
      <c r="CP43" s="5">
        <v>0</v>
      </c>
      <c r="CQ43" s="5">
        <v>6500</v>
      </c>
      <c r="CR43" s="5">
        <v>71.84</v>
      </c>
      <c r="CS43" s="5">
        <v>78.209999999999994</v>
      </c>
      <c r="CT43" s="5">
        <v>494</v>
      </c>
      <c r="CU43" s="5">
        <v>95.28</v>
      </c>
      <c r="CV43" s="5">
        <v>3869</v>
      </c>
      <c r="CW43" s="5">
        <v>30005.65</v>
      </c>
      <c r="CX43" s="5">
        <v>81.44</v>
      </c>
      <c r="CY43" s="5">
        <v>71.84</v>
      </c>
      <c r="CZ43" s="5">
        <v>78.209999999999994</v>
      </c>
      <c r="DA43" s="5">
        <v>494</v>
      </c>
      <c r="DB43" s="5">
        <v>95.28</v>
      </c>
      <c r="DC43" s="5">
        <v>3869</v>
      </c>
      <c r="DD43" s="5">
        <v>30005.65</v>
      </c>
      <c r="DE43" s="5">
        <v>106.48</v>
      </c>
      <c r="DF43" s="5">
        <v>976.02</v>
      </c>
      <c r="DG43" s="5">
        <v>72.69</v>
      </c>
      <c r="DH43" s="5">
        <v>73.959999999999894</v>
      </c>
      <c r="DI43" s="5">
        <v>102.85</v>
      </c>
      <c r="DJ43" s="5">
        <v>106.48</v>
      </c>
      <c r="DK43" s="5">
        <v>976.02</v>
      </c>
      <c r="DL43" s="5">
        <v>187.29</v>
      </c>
      <c r="DM43" s="5">
        <v>2293</v>
      </c>
      <c r="DN43" s="5">
        <v>72.69</v>
      </c>
      <c r="DO43" s="5">
        <v>73.959999999999894</v>
      </c>
      <c r="DP43" s="5">
        <v>102.85</v>
      </c>
    </row>
    <row r="44" spans="1:120" x14ac:dyDescent="0.35">
      <c r="B44">
        <v>2</v>
      </c>
      <c r="C44" s="11">
        <v>845.66210000000001</v>
      </c>
      <c r="D44" s="5">
        <v>5467.5</v>
      </c>
      <c r="E44" s="5">
        <v>2362.5</v>
      </c>
      <c r="F44" s="11">
        <v>2.3177291666666671</v>
      </c>
      <c r="G44" s="5">
        <v>185.06049999999999</v>
      </c>
      <c r="H44" s="5">
        <v>2350.25</v>
      </c>
      <c r="I44" s="11">
        <v>49.977499999999999</v>
      </c>
      <c r="J44" s="5">
        <v>834859.52500000002</v>
      </c>
      <c r="K44" s="5">
        <v>128.5</v>
      </c>
      <c r="L44" s="5">
        <v>11.697499999999998</v>
      </c>
      <c r="M44" s="5">
        <v>133.5</v>
      </c>
      <c r="N44" s="5">
        <v>42272.712526000003</v>
      </c>
      <c r="O44" s="5">
        <v>845.66210000000001</v>
      </c>
      <c r="P44" s="5">
        <v>42272.712526000003</v>
      </c>
      <c r="Q44" s="5">
        <v>737872.56752599997</v>
      </c>
      <c r="R44" s="5">
        <v>695599.85499999998</v>
      </c>
      <c r="S44" s="5">
        <v>87951.880568785404</v>
      </c>
      <c r="T44" s="5">
        <v>0.1192</v>
      </c>
      <c r="U44" s="5">
        <v>737872.56752599997</v>
      </c>
      <c r="V44" s="5">
        <v>167838.75985986501</v>
      </c>
      <c r="W44" s="5">
        <v>3.071875E-3</v>
      </c>
      <c r="X44" s="5">
        <v>54637915.265000001</v>
      </c>
      <c r="Y44" s="5">
        <v>1622.9856087500002</v>
      </c>
      <c r="Z44" s="5">
        <v>13074.75</v>
      </c>
      <c r="AA44" s="5">
        <v>2546.6210000000001</v>
      </c>
      <c r="AB44" s="5">
        <v>1200.26675</v>
      </c>
      <c r="AC44" s="5">
        <v>1261.61275</v>
      </c>
      <c r="AD44" s="5">
        <v>0.05</v>
      </c>
      <c r="AE44" s="5">
        <v>1460.8657000000001</v>
      </c>
      <c r="AF44" s="5">
        <v>1881856.75</v>
      </c>
      <c r="AG44" s="5">
        <v>52944.139887500001</v>
      </c>
      <c r="AH44" s="5">
        <v>54637915.265000001</v>
      </c>
      <c r="AI44" s="5">
        <v>167838.75985986501</v>
      </c>
      <c r="AJ44" s="5">
        <v>1200266.75</v>
      </c>
      <c r="AK44" s="5">
        <v>39993.124250000001</v>
      </c>
      <c r="AL44" s="5">
        <v>12575.25</v>
      </c>
      <c r="AM44" s="5">
        <v>13074.75</v>
      </c>
      <c r="AN44" s="5">
        <v>272.79910749999999</v>
      </c>
      <c r="AO44" s="5">
        <v>56.477000000000004</v>
      </c>
      <c r="AP44" s="5">
        <v>3.3052976068208775</v>
      </c>
      <c r="AQ44" s="5">
        <v>50331.730250000001</v>
      </c>
      <c r="AR44" s="5">
        <v>449.125</v>
      </c>
      <c r="AS44" s="5">
        <v>6800</v>
      </c>
      <c r="AT44" s="5">
        <v>14054</v>
      </c>
      <c r="AU44" s="5">
        <v>95582500</v>
      </c>
      <c r="AV44" s="5">
        <v>-1115246.17</v>
      </c>
      <c r="AW44" s="5">
        <v>52944.139887500001</v>
      </c>
      <c r="AX44" s="5">
        <v>39993.124250000001</v>
      </c>
      <c r="AY44" s="5">
        <v>12951.015637500002</v>
      </c>
      <c r="AZ44" s="5">
        <v>6287.25</v>
      </c>
      <c r="BA44" s="5">
        <v>12081.75</v>
      </c>
      <c r="BB44" s="5">
        <v>12256</v>
      </c>
      <c r="BC44" s="5">
        <v>5467.5</v>
      </c>
      <c r="BD44" s="52" t="s">
        <v>357</v>
      </c>
      <c r="BE44" s="5">
        <v>12081.75</v>
      </c>
      <c r="BF44" s="5">
        <v>1460.8657000000001</v>
      </c>
      <c r="BG44" s="5">
        <v>818.75</v>
      </c>
      <c r="BH44" s="5">
        <v>818.75</v>
      </c>
      <c r="BI44" s="5">
        <v>12256</v>
      </c>
      <c r="BJ44" s="5">
        <v>6287.25</v>
      </c>
      <c r="BK44" s="5">
        <v>4799</v>
      </c>
      <c r="BL44" s="5">
        <v>1460.8657000000001</v>
      </c>
      <c r="BM44" s="5">
        <v>5060142.43</v>
      </c>
      <c r="BN44" s="5">
        <v>5740.5</v>
      </c>
      <c r="BO44" s="5">
        <v>42272.712526000003</v>
      </c>
      <c r="BP44" s="5">
        <v>695599.85499999998</v>
      </c>
      <c r="BQ44" s="5">
        <v>737872.56752599997</v>
      </c>
      <c r="BR44" s="5">
        <v>1200.26675</v>
      </c>
      <c r="BS44" s="5">
        <v>5060142.43</v>
      </c>
      <c r="BT44" s="5">
        <v>4886476.7125000004</v>
      </c>
      <c r="BU44" s="5">
        <v>1.5344832972365738E-3</v>
      </c>
      <c r="BV44" s="5" t="s">
        <v>357</v>
      </c>
      <c r="BW44" s="5">
        <v>818.75</v>
      </c>
      <c r="BX44" s="5">
        <v>42272.712526000003</v>
      </c>
      <c r="BY44" s="5">
        <v>695599.85499999998</v>
      </c>
      <c r="BZ44" s="5">
        <v>737872.56752599997</v>
      </c>
      <c r="CA44" s="5">
        <v>5596.5749999999998</v>
      </c>
      <c r="CB44" s="5">
        <v>23005.734723000001</v>
      </c>
      <c r="CC44" s="5">
        <v>4919.8999999999996</v>
      </c>
      <c r="CD44" s="5">
        <v>154750</v>
      </c>
      <c r="CE44" s="5">
        <v>374999.75</v>
      </c>
      <c r="CF44" s="5">
        <v>23369163.75</v>
      </c>
      <c r="CG44" s="5">
        <v>50.267499999999998</v>
      </c>
      <c r="CH44" s="5">
        <v>2379000</v>
      </c>
      <c r="CI44" s="5">
        <v>139.5</v>
      </c>
      <c r="CJ44" s="5">
        <v>4919900</v>
      </c>
      <c r="CK44" s="5">
        <v>154750</v>
      </c>
      <c r="CL44" s="5">
        <v>374999.75</v>
      </c>
      <c r="CM44" s="5">
        <v>1881856.75</v>
      </c>
      <c r="CN44" s="43">
        <v>-1841863.6257499999</v>
      </c>
      <c r="CO44" s="5">
        <v>1453748</v>
      </c>
      <c r="CP44" s="5">
        <v>0</v>
      </c>
      <c r="CQ44" s="5">
        <v>6475</v>
      </c>
      <c r="CR44" s="5">
        <v>74.240000000000009</v>
      </c>
      <c r="CS44" s="5">
        <v>78.074999999999989</v>
      </c>
      <c r="CT44" s="5">
        <v>498.25</v>
      </c>
      <c r="CU44" s="5">
        <v>95.067499999999995</v>
      </c>
      <c r="CV44" s="5">
        <v>3935.5</v>
      </c>
      <c r="CW44" s="5">
        <v>30005.65</v>
      </c>
      <c r="CX44" s="5">
        <v>78.532499999999999</v>
      </c>
      <c r="CY44" s="5">
        <v>74.240000000000009</v>
      </c>
      <c r="CZ44" s="5">
        <v>78.074999999999989</v>
      </c>
      <c r="DA44" s="5">
        <v>498.25</v>
      </c>
      <c r="DB44" s="5">
        <v>95.067499999999995</v>
      </c>
      <c r="DC44" s="5">
        <v>3935.5</v>
      </c>
      <c r="DD44" s="5">
        <v>30005.65</v>
      </c>
      <c r="DE44" s="5">
        <v>105.57249999999999</v>
      </c>
      <c r="DF44" s="5">
        <v>976.04750000000001</v>
      </c>
      <c r="DG44" s="5">
        <v>71.314999999999998</v>
      </c>
      <c r="DH44" s="5">
        <v>73.879999999999896</v>
      </c>
      <c r="DI44" s="5">
        <v>104.47749999999999</v>
      </c>
      <c r="DJ44" s="5">
        <v>105.57249999999999</v>
      </c>
      <c r="DK44" s="5">
        <v>976.04750000000001</v>
      </c>
      <c r="DL44" s="5">
        <v>185.06049999999999</v>
      </c>
      <c r="DM44" s="5">
        <v>2350.25</v>
      </c>
      <c r="DN44" s="5">
        <v>71.314999999999998</v>
      </c>
      <c r="DO44" s="5">
        <v>73.879999999999896</v>
      </c>
      <c r="DP44" s="5">
        <v>104.47749999999999</v>
      </c>
    </row>
    <row r="45" spans="1:120" x14ac:dyDescent="0.35">
      <c r="A45">
        <v>2021</v>
      </c>
      <c r="B45">
        <v>1</v>
      </c>
      <c r="C45" s="50">
        <v>894.18411000000003</v>
      </c>
      <c r="D45" s="5">
        <v>5546</v>
      </c>
      <c r="E45" s="5">
        <v>2325</v>
      </c>
      <c r="F45" s="11">
        <v>2.39004166666667</v>
      </c>
      <c r="G45" s="5">
        <v>175.30824999999999</v>
      </c>
      <c r="H45" s="50">
        <v>2543.346</v>
      </c>
      <c r="I45" s="49">
        <v>53.76</v>
      </c>
      <c r="J45" s="50">
        <v>824184.11</v>
      </c>
      <c r="K45" s="5">
        <v>121.856209150327</v>
      </c>
      <c r="L45" s="5">
        <v>12.297000000000001</v>
      </c>
      <c r="M45" s="5">
        <v>134.898954703833</v>
      </c>
      <c r="N45" s="5">
        <v>48917.849363233399</v>
      </c>
      <c r="O45" s="5">
        <v>920.77696840882697</v>
      </c>
      <c r="P45" s="5">
        <v>48917.849363233399</v>
      </c>
      <c r="Q45" s="5">
        <v>600972.15522850596</v>
      </c>
      <c r="R45" s="5">
        <v>552054.305865273</v>
      </c>
      <c r="S45" s="5">
        <v>71277.442250841996</v>
      </c>
      <c r="T45" s="5">
        <v>0.115939953542393</v>
      </c>
      <c r="U45" s="5">
        <v>600972.15522850596</v>
      </c>
      <c r="V45" s="5">
        <v>179503.66762289399</v>
      </c>
      <c r="W45" s="5">
        <v>3.2583868176538902E-3</v>
      </c>
      <c r="X45" s="5">
        <v>57054918.204332203</v>
      </c>
      <c r="Y45" s="5">
        <v>1779.1902879007</v>
      </c>
      <c r="Z45" s="5">
        <v>12928.1759581882</v>
      </c>
      <c r="AA45" s="5">
        <v>2678.2763623693399</v>
      </c>
      <c r="AB45" s="5">
        <v>2354.2684976771202</v>
      </c>
      <c r="AC45" s="5">
        <v>1153.28751277584</v>
      </c>
      <c r="AD45" s="5">
        <v>5.2487804878048799E-2</v>
      </c>
      <c r="AE45" s="5">
        <v>1440.5019531939599</v>
      </c>
      <c r="AF45" s="5">
        <v>1775414.9924506401</v>
      </c>
      <c r="AG45" s="5">
        <v>53905.8137566027</v>
      </c>
      <c r="AH45" s="5">
        <v>57054918.204332203</v>
      </c>
      <c r="AI45" s="5">
        <v>179503.66762289399</v>
      </c>
      <c r="AJ45" s="5">
        <v>2354268.4976771199</v>
      </c>
      <c r="AK45" s="5">
        <v>44703.189894889598</v>
      </c>
      <c r="AL45" s="5">
        <v>14135.361904761899</v>
      </c>
      <c r="AM45" s="5">
        <v>12928.1759581882</v>
      </c>
      <c r="AN45" s="5">
        <v>271.92231667595797</v>
      </c>
      <c r="AO45" s="5">
        <v>57.143454874941199</v>
      </c>
      <c r="AP45" s="5">
        <v>3.3055551773673502</v>
      </c>
      <c r="AQ45" s="5">
        <v>45227.261631242698</v>
      </c>
      <c r="AR45" s="5">
        <v>344.09959349593498</v>
      </c>
      <c r="AS45" s="5">
        <v>7386.6434378629501</v>
      </c>
      <c r="AT45" s="5">
        <v>14357.947735191599</v>
      </c>
      <c r="AU45" s="5">
        <v>100322804.761905</v>
      </c>
      <c r="AV45" s="5">
        <v>2147770.1024854798</v>
      </c>
      <c r="AW45" s="5">
        <v>53905.8137566027</v>
      </c>
      <c r="AX45" s="5">
        <v>44703.189894889598</v>
      </c>
      <c r="AY45" s="5">
        <v>9202.6238617131003</v>
      </c>
      <c r="AZ45" s="5">
        <v>7029.09651567944</v>
      </c>
      <c r="BA45" s="5">
        <v>11843.8240418118</v>
      </c>
      <c r="BB45" s="5">
        <v>12321.833914053401</v>
      </c>
      <c r="BC45" s="5">
        <v>6145.8095238095202</v>
      </c>
      <c r="BD45" s="51">
        <v>2021</v>
      </c>
      <c r="BE45" s="5">
        <v>11843.8240418118</v>
      </c>
      <c r="BF45" s="5">
        <v>1440.5019531939599</v>
      </c>
      <c r="BG45" s="5">
        <v>606.34204413472696</v>
      </c>
      <c r="BH45" s="5">
        <v>606.34204413472696</v>
      </c>
      <c r="BI45" s="5">
        <v>12321.833914053401</v>
      </c>
      <c r="BJ45" s="5">
        <v>7029.09651567944</v>
      </c>
      <c r="BK45" s="5">
        <v>5219.9430894308998</v>
      </c>
      <c r="BL45" s="5">
        <v>1440.5019531939599</v>
      </c>
      <c r="BM45" s="5">
        <v>5407356.0376771204</v>
      </c>
      <c r="BN45" s="5">
        <v>6452.8977932636499</v>
      </c>
      <c r="BO45" s="5">
        <v>48917.849363233399</v>
      </c>
      <c r="BP45" s="5">
        <v>552054.305865273</v>
      </c>
      <c r="BQ45" s="5">
        <v>600972.15522850596</v>
      </c>
      <c r="BR45" s="5">
        <v>2354.2684976771202</v>
      </c>
      <c r="BS45" s="5">
        <v>5407356.0376771204</v>
      </c>
      <c r="BT45" s="5">
        <v>5190956.39944831</v>
      </c>
      <c r="BU45" s="5">
        <v>2.31756271252253E-2</v>
      </c>
      <c r="BV45" s="51">
        <v>2021</v>
      </c>
      <c r="BW45" s="5">
        <v>606.34204413472696</v>
      </c>
      <c r="BX45" s="5">
        <v>48917.849363233399</v>
      </c>
      <c r="BY45" s="5">
        <v>552054.305865273</v>
      </c>
      <c r="BZ45" s="5">
        <v>600972.15522850596</v>
      </c>
      <c r="CA45" s="5">
        <v>6354.4457015098697</v>
      </c>
      <c r="CB45" s="5">
        <v>20959.958929935001</v>
      </c>
      <c r="CC45" s="5">
        <v>4701.3049477351997</v>
      </c>
      <c r="CD45" s="5">
        <v>129325.783972126</v>
      </c>
      <c r="CE45" s="5">
        <v>352711.788037166</v>
      </c>
      <c r="CF45" s="5">
        <v>21825925.598722398</v>
      </c>
      <c r="CG45" s="5">
        <v>54.905905923344903</v>
      </c>
      <c r="CH45" s="5">
        <v>2370098.8455284499</v>
      </c>
      <c r="CI45" s="5">
        <v>143.75958188153299</v>
      </c>
      <c r="CJ45" s="5">
        <v>4701304.9477351997</v>
      </c>
      <c r="CK45" s="5">
        <v>129325.783972126</v>
      </c>
      <c r="CL45" s="5">
        <v>352711.788037166</v>
      </c>
      <c r="CM45" s="5">
        <v>1775414.9924506401</v>
      </c>
      <c r="CN45" s="43">
        <v>-1730711.8025557499</v>
      </c>
      <c r="CO45" s="5">
        <v>1208897.2032520301</v>
      </c>
      <c r="CP45" s="5">
        <v>0</v>
      </c>
      <c r="CQ45" s="5">
        <v>7088.8153310104499</v>
      </c>
      <c r="CR45" s="5">
        <v>69.328455284552902</v>
      </c>
      <c r="CS45" s="5">
        <v>78.240325203251999</v>
      </c>
      <c r="CT45" s="5">
        <v>507.07839721254402</v>
      </c>
      <c r="CU45" s="5">
        <v>95.104907084785097</v>
      </c>
      <c r="CV45" s="5">
        <v>4090.5203252032502</v>
      </c>
      <c r="CW45" s="5">
        <v>37479.733391405302</v>
      </c>
      <c r="CX45" s="5">
        <v>67.742468060394899</v>
      </c>
      <c r="CY45" s="5">
        <v>69.328455284552902</v>
      </c>
      <c r="CZ45" s="5">
        <v>78.240325203251999</v>
      </c>
      <c r="DA45" s="5">
        <v>507.07839721254402</v>
      </c>
      <c r="DB45" s="5">
        <v>95.104907084785097</v>
      </c>
      <c r="DC45" s="5">
        <v>4090.5203252032502</v>
      </c>
      <c r="DD45" s="5">
        <v>37479.733391405302</v>
      </c>
      <c r="DE45" s="5">
        <v>103.574296167247</v>
      </c>
      <c r="DF45" s="5">
        <v>1025.42419860627</v>
      </c>
      <c r="DG45" s="5">
        <v>70.917049941927999</v>
      </c>
      <c r="DH45" s="5">
        <v>74.257142857142696</v>
      </c>
      <c r="DI45" s="5">
        <v>102.648382113821</v>
      </c>
      <c r="DJ45" s="5">
        <v>103.574296167247</v>
      </c>
      <c r="DK45" s="5">
        <v>1025.42419860627</v>
      </c>
      <c r="DL45" s="5">
        <v>279.30988269454201</v>
      </c>
      <c r="DM45" s="5">
        <v>2207.0890824622502</v>
      </c>
      <c r="DN45" s="5">
        <v>70.917049941927999</v>
      </c>
      <c r="DO45" s="5">
        <v>74.257142857142696</v>
      </c>
      <c r="DP45" s="5">
        <v>102.648382113821</v>
      </c>
    </row>
    <row r="46" spans="1:120" x14ac:dyDescent="0.35">
      <c r="B46">
        <v>2</v>
      </c>
      <c r="C46" s="50">
        <v>923.52228000000002</v>
      </c>
      <c r="D46" s="5">
        <v>5624.5</v>
      </c>
      <c r="E46" s="5">
        <v>2287.5</v>
      </c>
      <c r="F46" s="11">
        <v>2.4623541666666702</v>
      </c>
      <c r="G46" s="5">
        <v>165.55600000000001</v>
      </c>
      <c r="H46" s="50">
        <v>2543.4169999999999</v>
      </c>
      <c r="I46" s="5">
        <v>52.11</v>
      </c>
      <c r="J46" s="50">
        <v>804992</v>
      </c>
      <c r="K46" s="5">
        <v>120.452184382525</v>
      </c>
      <c r="L46" s="5">
        <v>12.590071428571401</v>
      </c>
      <c r="M46" s="5">
        <v>135.12515193258201</v>
      </c>
      <c r="N46" s="5">
        <v>49716.476952340701</v>
      </c>
      <c r="O46" s="5">
        <v>933.61617878886102</v>
      </c>
      <c r="P46" s="5">
        <v>49716.476952340701</v>
      </c>
      <c r="Q46" s="5">
        <v>616355.42063748196</v>
      </c>
      <c r="R46" s="5">
        <v>566638.94368514104</v>
      </c>
      <c r="S46" s="5">
        <v>73116.755363270597</v>
      </c>
      <c r="T46" s="5">
        <v>0.115929796342814</v>
      </c>
      <c r="U46" s="5">
        <v>616355.42063748196</v>
      </c>
      <c r="V46" s="5">
        <v>182759.56146374001</v>
      </c>
      <c r="W46" s="5">
        <v>3.2722990229046801E-3</v>
      </c>
      <c r="X46" s="5">
        <v>58014371.3243066</v>
      </c>
      <c r="Y46" s="5">
        <v>1801.39945209292</v>
      </c>
      <c r="Z46" s="5">
        <v>13099.277996110501</v>
      </c>
      <c r="AA46" s="5">
        <v>2688.0218161008002</v>
      </c>
      <c r="AB46" s="5">
        <v>2393.7378361626602</v>
      </c>
      <c r="AC46" s="5">
        <v>1143.9187993612099</v>
      </c>
      <c r="AD46" s="5">
        <v>5.2410825702941401E-2</v>
      </c>
      <c r="AE46" s="5">
        <v>1460.46828152635</v>
      </c>
      <c r="AF46" s="5">
        <v>1798729.36557681</v>
      </c>
      <c r="AG46" s="5">
        <v>54760.281644426497</v>
      </c>
      <c r="AH46" s="5">
        <v>58014371.3243066</v>
      </c>
      <c r="AI46" s="5">
        <v>182759.56146374001</v>
      </c>
      <c r="AJ46" s="5">
        <v>2393737.8361626598</v>
      </c>
      <c r="AK46" s="5">
        <v>45192.185768461502</v>
      </c>
      <c r="AL46" s="5">
        <v>14374.256256921301</v>
      </c>
      <c r="AM46" s="5">
        <v>13099.277996110501</v>
      </c>
      <c r="AN46" s="5">
        <v>273.03672956454102</v>
      </c>
      <c r="AO46" s="5">
        <v>57.465830659009796</v>
      </c>
      <c r="AP46" s="5">
        <v>3.3056626622910299</v>
      </c>
      <c r="AQ46" s="5">
        <v>45758.801647590699</v>
      </c>
      <c r="AR46" s="5">
        <v>345.68326783350898</v>
      </c>
      <c r="AS46" s="5">
        <v>7533.9734759473804</v>
      </c>
      <c r="AT46" s="5">
        <v>14525.765902277</v>
      </c>
      <c r="AU46" s="5">
        <v>102701763.565892</v>
      </c>
      <c r="AV46" s="5">
        <v>2175230.4308956601</v>
      </c>
      <c r="AW46" s="5">
        <v>54760.281644426497</v>
      </c>
      <c r="AX46" s="5">
        <v>45192.185768461502</v>
      </c>
      <c r="AY46" s="5">
        <v>9568.0958759650002</v>
      </c>
      <c r="AZ46" s="5">
        <v>7149.7423669070604</v>
      </c>
      <c r="BA46" s="5">
        <v>12004.7618709991</v>
      </c>
      <c r="BB46" s="5">
        <v>12490.763619912001</v>
      </c>
      <c r="BC46" s="5">
        <v>6249.6766334440699</v>
      </c>
      <c r="BD46" s="51">
        <v>2021</v>
      </c>
      <c r="BE46" s="5">
        <v>12004.7618709991</v>
      </c>
      <c r="BF46" s="5">
        <v>1460.46828152635</v>
      </c>
      <c r="BG46" s="5">
        <v>608.51437619857904</v>
      </c>
      <c r="BH46" s="5">
        <v>608.51437619857904</v>
      </c>
      <c r="BI46" s="5">
        <v>12490.763619912001</v>
      </c>
      <c r="BJ46" s="5">
        <v>7149.7423669070604</v>
      </c>
      <c r="BK46" s="5">
        <v>5310.1060016746396</v>
      </c>
      <c r="BL46" s="5">
        <v>1460.46828152635</v>
      </c>
      <c r="BM46" s="5">
        <v>5508303.4631393999</v>
      </c>
      <c r="BN46" s="5">
        <v>6561.9655754531004</v>
      </c>
      <c r="BO46" s="5">
        <v>49716.476952340701</v>
      </c>
      <c r="BP46" s="5">
        <v>566638.94368514104</v>
      </c>
      <c r="BQ46" s="5">
        <v>616355.42063748196</v>
      </c>
      <c r="BR46" s="5">
        <v>2393.7378361626602</v>
      </c>
      <c r="BS46" s="5">
        <v>5508303.4631393999</v>
      </c>
      <c r="BT46" s="5">
        <v>5290095.8097078204</v>
      </c>
      <c r="BU46" s="5">
        <v>2.3334970275184101E-2</v>
      </c>
      <c r="BV46" s="51">
        <v>2021</v>
      </c>
      <c r="BW46" s="5">
        <v>608.51437619857904</v>
      </c>
      <c r="BX46" s="5">
        <v>49716.476952340701</v>
      </c>
      <c r="BY46" s="5">
        <v>566638.94368514104</v>
      </c>
      <c r="BZ46" s="5">
        <v>616355.42063748196</v>
      </c>
      <c r="CA46" s="5">
        <v>6461.9071632633804</v>
      </c>
      <c r="CB46" s="5">
        <v>21191.333679312898</v>
      </c>
      <c r="CC46" s="5">
        <v>4779.7335532776997</v>
      </c>
      <c r="CD46" s="5">
        <v>132428.146017341</v>
      </c>
      <c r="CE46" s="5">
        <v>355254.18875428801</v>
      </c>
      <c r="CF46" s="5">
        <v>22075707.076459199</v>
      </c>
      <c r="CG46" s="5">
        <v>55.2064214812413</v>
      </c>
      <c r="CH46" s="5">
        <v>2415985.5653647701</v>
      </c>
      <c r="CI46" s="5">
        <v>144.062353131837</v>
      </c>
      <c r="CJ46" s="5">
        <v>4779733.5532777002</v>
      </c>
      <c r="CK46" s="5">
        <v>132428.146017341</v>
      </c>
      <c r="CL46" s="5">
        <v>355254.18875428801</v>
      </c>
      <c r="CM46" s="5">
        <v>1798729.36557681</v>
      </c>
      <c r="CN46" s="43">
        <v>-1753537.17980834</v>
      </c>
      <c r="CO46" s="5">
        <v>1202142.3046214499</v>
      </c>
      <c r="CP46" s="5">
        <v>0</v>
      </c>
      <c r="CQ46" s="5">
        <v>7234.4529211571198</v>
      </c>
      <c r="CR46" s="5">
        <v>69.6334443454069</v>
      </c>
      <c r="CS46" s="5">
        <v>78.492372444156302</v>
      </c>
      <c r="CT46" s="5">
        <v>507.22905356130002</v>
      </c>
      <c r="CU46" s="5">
        <v>95.225215609215894</v>
      </c>
      <c r="CV46" s="5">
        <v>4123.9620236069404</v>
      </c>
      <c r="CW46" s="5">
        <v>37764.947524781797</v>
      </c>
      <c r="CX46" s="5">
        <v>68.001600018907197</v>
      </c>
      <c r="CY46" s="5">
        <v>69.6334443454069</v>
      </c>
      <c r="CZ46" s="5">
        <v>78.492372444156302</v>
      </c>
      <c r="DA46" s="5">
        <v>507.22905356130002</v>
      </c>
      <c r="DB46" s="5">
        <v>95.225215609215894</v>
      </c>
      <c r="DC46" s="5">
        <v>4123.9620236069404</v>
      </c>
      <c r="DD46" s="5">
        <v>37764.947524781797</v>
      </c>
      <c r="DE46" s="5">
        <v>103.669318248116</v>
      </c>
      <c r="DF46" s="5">
        <v>1034.71443541852</v>
      </c>
      <c r="DG46" s="5">
        <v>71.042798665694306</v>
      </c>
      <c r="DH46" s="5">
        <v>74.416345514949995</v>
      </c>
      <c r="DI46" s="5">
        <v>102.71023321989</v>
      </c>
      <c r="DJ46" s="5">
        <v>103.669318248116</v>
      </c>
      <c r="DK46" s="5">
        <v>1034.71443541852</v>
      </c>
      <c r="DL46" s="5">
        <v>283.45142098155202</v>
      </c>
      <c r="DM46" s="5">
        <v>2209.6479877373499</v>
      </c>
      <c r="DN46" s="5">
        <v>71.042798665694306</v>
      </c>
      <c r="DO46" s="5">
        <v>74.416345514949995</v>
      </c>
      <c r="DP46" s="5">
        <v>102.71023321989</v>
      </c>
    </row>
    <row r="47" spans="1:120" x14ac:dyDescent="0.35">
      <c r="A47">
        <v>2022</v>
      </c>
      <c r="B47">
        <v>1</v>
      </c>
      <c r="C47" s="50">
        <v>952.86045000000001</v>
      </c>
      <c r="D47" s="5">
        <v>5703</v>
      </c>
      <c r="E47" s="5">
        <v>2250</v>
      </c>
      <c r="F47" s="11">
        <v>2.53466666666667</v>
      </c>
      <c r="G47" s="5">
        <v>172.464</v>
      </c>
      <c r="H47" s="50">
        <v>2543.3470000000002</v>
      </c>
      <c r="I47" s="49">
        <v>50.33</v>
      </c>
      <c r="J47" s="50">
        <v>823522.28</v>
      </c>
      <c r="K47" s="5">
        <v>129.04815961472301</v>
      </c>
      <c r="L47" s="5">
        <v>12.8831428571429</v>
      </c>
      <c r="M47" s="5">
        <v>135.351349161332</v>
      </c>
      <c r="N47" s="5">
        <v>50515.104541447901</v>
      </c>
      <c r="O47" s="5">
        <v>946.45538916889495</v>
      </c>
      <c r="P47" s="5">
        <v>50515.104541447901</v>
      </c>
      <c r="Q47" s="5">
        <v>631738.68604645797</v>
      </c>
      <c r="R47" s="5">
        <v>581223.58150501002</v>
      </c>
      <c r="S47" s="5">
        <v>74956.0684756993</v>
      </c>
      <c r="T47" s="5">
        <v>0.115919639143235</v>
      </c>
      <c r="U47" s="5">
        <v>631738.68604645797</v>
      </c>
      <c r="V47" s="5">
        <v>186015.45530458499</v>
      </c>
      <c r="W47" s="5">
        <v>3.28621122815547E-3</v>
      </c>
      <c r="X47" s="5">
        <v>58973824.444281101</v>
      </c>
      <c r="Y47" s="5">
        <v>1823.60861628515</v>
      </c>
      <c r="Z47" s="5">
        <v>13270.3800340329</v>
      </c>
      <c r="AA47" s="5">
        <v>2697.7672698322699</v>
      </c>
      <c r="AB47" s="5">
        <v>2433.2071746481902</v>
      </c>
      <c r="AC47" s="5">
        <v>1134.5500859465701</v>
      </c>
      <c r="AD47" s="5">
        <v>5.2333846527834099E-2</v>
      </c>
      <c r="AE47" s="5">
        <v>1480.43460985874</v>
      </c>
      <c r="AF47" s="5">
        <v>1822043.7387029701</v>
      </c>
      <c r="AG47" s="5">
        <v>55614.7495322502</v>
      </c>
      <c r="AH47" s="5">
        <v>58973824.444281101</v>
      </c>
      <c r="AI47" s="5">
        <v>186015.45530458499</v>
      </c>
      <c r="AJ47" s="5">
        <v>2433207.1746482002</v>
      </c>
      <c r="AK47" s="5">
        <v>45681.181642033298</v>
      </c>
      <c r="AL47" s="5">
        <v>14613.1506090808</v>
      </c>
      <c r="AM47" s="5">
        <v>13270.3800340329</v>
      </c>
      <c r="AN47" s="5">
        <v>274.15114245312401</v>
      </c>
      <c r="AO47" s="5">
        <v>57.788206443078401</v>
      </c>
      <c r="AP47" s="5">
        <v>3.3057701472146999</v>
      </c>
      <c r="AQ47" s="5">
        <v>46290.341663938598</v>
      </c>
      <c r="AR47" s="5">
        <v>347.26694217108297</v>
      </c>
      <c r="AS47" s="5">
        <v>7681.3035140318198</v>
      </c>
      <c r="AT47" s="5">
        <v>14693.584069362299</v>
      </c>
      <c r="AU47" s="5">
        <v>105080722.36987799</v>
      </c>
      <c r="AV47" s="5">
        <v>2202690.7593058399</v>
      </c>
      <c r="AW47" s="5">
        <v>55614.7495322502</v>
      </c>
      <c r="AX47" s="5">
        <v>45681.181642033298</v>
      </c>
      <c r="AY47" s="5">
        <v>9933.5678902169002</v>
      </c>
      <c r="AZ47" s="5">
        <v>7270.3882181346698</v>
      </c>
      <c r="BA47" s="5">
        <v>12165.6997001864</v>
      </c>
      <c r="BB47" s="5">
        <v>12659.6933257705</v>
      </c>
      <c r="BC47" s="5">
        <v>6353.5437430786296</v>
      </c>
      <c r="BD47" s="52">
        <v>2022</v>
      </c>
      <c r="BE47" s="5">
        <v>12165.6997001864</v>
      </c>
      <c r="BF47" s="5">
        <v>1480.43460985874</v>
      </c>
      <c r="BG47" s="5">
        <v>610.68670826243203</v>
      </c>
      <c r="BH47" s="5">
        <v>610.68670826243203</v>
      </c>
      <c r="BI47" s="5">
        <v>12659.6933257705</v>
      </c>
      <c r="BJ47" s="5">
        <v>7270.3882181346698</v>
      </c>
      <c r="BK47" s="5">
        <v>5400.2689139183803</v>
      </c>
      <c r="BL47" s="5">
        <v>1480.43460985874</v>
      </c>
      <c r="BM47" s="5">
        <v>5609250.8886016803</v>
      </c>
      <c r="BN47" s="5">
        <v>6671.0333576425501</v>
      </c>
      <c r="BO47" s="5">
        <v>50515.104541447901</v>
      </c>
      <c r="BP47" s="5">
        <v>581223.58150501002</v>
      </c>
      <c r="BQ47" s="5">
        <v>631738.68604645797</v>
      </c>
      <c r="BR47" s="5">
        <v>2433.2071746481902</v>
      </c>
      <c r="BS47" s="5">
        <v>5609250.8886016803</v>
      </c>
      <c r="BT47" s="5">
        <v>5389235.2199673196</v>
      </c>
      <c r="BU47" s="5">
        <v>2.3494313425142899E-2</v>
      </c>
      <c r="BV47" s="52">
        <v>2022</v>
      </c>
      <c r="BW47" s="5">
        <v>610.68670826243203</v>
      </c>
      <c r="BX47" s="5">
        <v>50515.104541447901</v>
      </c>
      <c r="BY47" s="5">
        <v>581223.58150501002</v>
      </c>
      <c r="BZ47" s="5">
        <v>631738.68604645797</v>
      </c>
      <c r="CA47" s="5">
        <v>6569.3686250168803</v>
      </c>
      <c r="CB47" s="5">
        <v>21422.708428690799</v>
      </c>
      <c r="CC47" s="5">
        <v>4858.1621588201997</v>
      </c>
      <c r="CD47" s="5">
        <v>135530.50806255601</v>
      </c>
      <c r="CE47" s="5">
        <v>357796.58947141003</v>
      </c>
      <c r="CF47" s="5">
        <v>22325488.554196</v>
      </c>
      <c r="CG47" s="5">
        <v>55.506937039137803</v>
      </c>
      <c r="CH47" s="5">
        <v>2461872.2852010899</v>
      </c>
      <c r="CI47" s="5">
        <v>144.365124382141</v>
      </c>
      <c r="CJ47" s="5">
        <v>4858162.1588201998</v>
      </c>
      <c r="CK47" s="5">
        <v>135530.50806255601</v>
      </c>
      <c r="CL47" s="5">
        <v>357796.58947141003</v>
      </c>
      <c r="CM47" s="5">
        <v>1822043.7387029701</v>
      </c>
      <c r="CN47" s="43">
        <v>-1776362.5570609299</v>
      </c>
      <c r="CO47" s="5">
        <v>1195387.40599087</v>
      </c>
      <c r="CP47" s="5">
        <v>0</v>
      </c>
      <c r="CQ47" s="5">
        <v>7380.0905113037898</v>
      </c>
      <c r="CR47" s="5">
        <v>69.938433406260998</v>
      </c>
      <c r="CS47" s="5">
        <v>78.744419685060606</v>
      </c>
      <c r="CT47" s="5">
        <v>507.37970991005602</v>
      </c>
      <c r="CU47" s="5">
        <v>95.345524133646606</v>
      </c>
      <c r="CV47" s="5">
        <v>4157.4037220106402</v>
      </c>
      <c r="CW47" s="5">
        <v>38050.161658158402</v>
      </c>
      <c r="CX47" s="5">
        <v>68.260731977419397</v>
      </c>
      <c r="CY47" s="5">
        <v>69.938433406260998</v>
      </c>
      <c r="CZ47" s="5">
        <v>78.744419685060606</v>
      </c>
      <c r="DA47" s="5">
        <v>507.37970991005602</v>
      </c>
      <c r="DB47" s="5">
        <v>95.345524133646606</v>
      </c>
      <c r="DC47" s="5">
        <v>4157.4037220106402</v>
      </c>
      <c r="DD47" s="5">
        <v>38050.161658158402</v>
      </c>
      <c r="DE47" s="5">
        <v>103.764340328985</v>
      </c>
      <c r="DF47" s="5">
        <v>1044.00467223078</v>
      </c>
      <c r="DG47" s="5">
        <v>71.168547389460599</v>
      </c>
      <c r="DH47" s="5">
        <v>74.575548172757294</v>
      </c>
      <c r="DI47" s="5">
        <v>102.77208432595999</v>
      </c>
      <c r="DJ47" s="5">
        <v>103.764340328985</v>
      </c>
      <c r="DK47" s="5">
        <v>1044.00467223078</v>
      </c>
      <c r="DL47" s="5">
        <v>287.59295926856299</v>
      </c>
      <c r="DM47" s="5">
        <v>2212.2068930124501</v>
      </c>
      <c r="DN47" s="5">
        <v>71.168547389460599</v>
      </c>
      <c r="DO47" s="5">
        <v>74.575548172757294</v>
      </c>
      <c r="DP47" s="5">
        <v>102.77208432595999</v>
      </c>
    </row>
    <row r="48" spans="1:120" x14ac:dyDescent="0.35">
      <c r="B48">
        <v>2</v>
      </c>
      <c r="C48" s="50">
        <v>982.19862000000001</v>
      </c>
      <c r="D48" s="5">
        <v>5781.5</v>
      </c>
      <c r="E48" s="5">
        <v>2212.5</v>
      </c>
      <c r="F48" s="11">
        <v>2.6069791666666702</v>
      </c>
      <c r="G48" s="5">
        <v>179.37200000000001</v>
      </c>
      <c r="H48" s="50">
        <v>2544.4169999999999</v>
      </c>
      <c r="I48" s="5">
        <v>50.33</v>
      </c>
      <c r="J48" s="50">
        <v>836904.3</v>
      </c>
      <c r="K48" s="5">
        <v>127.64413484692101</v>
      </c>
      <c r="L48" s="5">
        <v>12.976214285714301</v>
      </c>
      <c r="M48" s="5">
        <v>135.57754639008201</v>
      </c>
      <c r="N48" s="5">
        <v>51313.732130555101</v>
      </c>
      <c r="O48" s="5">
        <v>959.29459954893002</v>
      </c>
      <c r="P48" s="5">
        <v>51313.732130555101</v>
      </c>
      <c r="Q48" s="5">
        <v>647121.95145543397</v>
      </c>
      <c r="R48" s="5">
        <v>595808.219324879</v>
      </c>
      <c r="S48" s="5">
        <v>76795.381588128002</v>
      </c>
      <c r="T48" s="5">
        <v>0.11590948194365699</v>
      </c>
      <c r="U48" s="5">
        <v>647121.95145543397</v>
      </c>
      <c r="V48" s="5">
        <v>189271.34914543101</v>
      </c>
      <c r="W48" s="5">
        <v>3.30012343340626E-3</v>
      </c>
      <c r="X48" s="5">
        <v>59933277.564255603</v>
      </c>
      <c r="Y48" s="5">
        <v>1845.81778047737</v>
      </c>
      <c r="Z48" s="5">
        <v>13441.482071955301</v>
      </c>
      <c r="AA48" s="5">
        <v>2707.5127235637301</v>
      </c>
      <c r="AB48" s="5">
        <v>2472.6765131337302</v>
      </c>
      <c r="AC48" s="5">
        <v>1125.18137253194</v>
      </c>
      <c r="AD48" s="5">
        <v>5.2256867352726701E-2</v>
      </c>
      <c r="AE48" s="5">
        <v>1500.4009381911201</v>
      </c>
      <c r="AF48" s="5">
        <v>1845358.11182914</v>
      </c>
      <c r="AG48" s="5">
        <v>56469.217420073903</v>
      </c>
      <c r="AH48" s="5">
        <v>59933277.564255603</v>
      </c>
      <c r="AI48" s="5">
        <v>189271.34914543101</v>
      </c>
      <c r="AJ48" s="5">
        <v>2472676.5131337298</v>
      </c>
      <c r="AK48" s="5">
        <v>46170.177515605101</v>
      </c>
      <c r="AL48" s="5">
        <v>14852.044961240301</v>
      </c>
      <c r="AM48" s="5">
        <v>13441.482071955301</v>
      </c>
      <c r="AN48" s="5">
        <v>275.265555341707</v>
      </c>
      <c r="AO48" s="5">
        <v>58.110582227146999</v>
      </c>
      <c r="AP48" s="5">
        <v>3.3058776321383698</v>
      </c>
      <c r="AQ48" s="5">
        <v>46821.881680286599</v>
      </c>
      <c r="AR48" s="5">
        <v>348.85061650865703</v>
      </c>
      <c r="AS48" s="5">
        <v>7828.63355211625</v>
      </c>
      <c r="AT48" s="5">
        <v>14861.4022364476</v>
      </c>
      <c r="AU48" s="5">
        <v>107459681.17386501</v>
      </c>
      <c r="AV48" s="5">
        <v>2230151.0877160202</v>
      </c>
      <c r="AW48" s="5">
        <v>56469.217420073903</v>
      </c>
      <c r="AX48" s="5">
        <v>46170.177515605101</v>
      </c>
      <c r="AY48" s="5">
        <v>10299.0399044688</v>
      </c>
      <c r="AZ48" s="5">
        <v>7391.0340693622902</v>
      </c>
      <c r="BA48" s="5">
        <v>12326.6375293736</v>
      </c>
      <c r="BB48" s="5">
        <v>12828.623031629</v>
      </c>
      <c r="BC48" s="5">
        <v>6457.4108527131802</v>
      </c>
      <c r="BD48" s="52">
        <v>2022</v>
      </c>
      <c r="BE48" s="5">
        <v>12326.6375293736</v>
      </c>
      <c r="BF48" s="5">
        <v>1500.4009381911201</v>
      </c>
      <c r="BG48" s="5">
        <v>612.859040326284</v>
      </c>
      <c r="BH48" s="5">
        <v>612.859040326284</v>
      </c>
      <c r="BI48" s="5">
        <v>12828.623031629</v>
      </c>
      <c r="BJ48" s="5">
        <v>7391.0340693622902</v>
      </c>
      <c r="BK48" s="5">
        <v>5490.4318261621202</v>
      </c>
      <c r="BL48" s="5">
        <v>1500.4009381911201</v>
      </c>
      <c r="BM48" s="5">
        <v>5710198.3140639598</v>
      </c>
      <c r="BN48" s="5">
        <v>6780.1011398319997</v>
      </c>
      <c r="BO48" s="5">
        <v>51313.732130555101</v>
      </c>
      <c r="BP48" s="5">
        <v>595808.219324879</v>
      </c>
      <c r="BQ48" s="5">
        <v>647121.95145543397</v>
      </c>
      <c r="BR48" s="5">
        <v>2472.6765131337302</v>
      </c>
      <c r="BS48" s="5">
        <v>5710198.3140639598</v>
      </c>
      <c r="BT48" s="5">
        <v>5488374.6302268198</v>
      </c>
      <c r="BU48" s="5">
        <v>2.3653656575101802E-2</v>
      </c>
      <c r="BV48" s="52">
        <v>2022</v>
      </c>
      <c r="BW48" s="5">
        <v>612.859040326284</v>
      </c>
      <c r="BX48" s="5">
        <v>51313.732130555101</v>
      </c>
      <c r="BY48" s="5">
        <v>595808.219324879</v>
      </c>
      <c r="BZ48" s="5">
        <v>647121.95145543397</v>
      </c>
      <c r="CA48" s="5">
        <v>6676.8300867703902</v>
      </c>
      <c r="CB48" s="5">
        <v>21654.0831780687</v>
      </c>
      <c r="CC48" s="5">
        <v>4936.5907643626997</v>
      </c>
      <c r="CD48" s="5">
        <v>138632.87010777101</v>
      </c>
      <c r="CE48" s="5">
        <v>360338.99018853199</v>
      </c>
      <c r="CF48" s="5">
        <v>22575270.031932902</v>
      </c>
      <c r="CG48" s="5">
        <v>55.807452597034199</v>
      </c>
      <c r="CH48" s="5">
        <v>2507759.0050374102</v>
      </c>
      <c r="CI48" s="5">
        <v>144.66789563244501</v>
      </c>
      <c r="CJ48" s="5">
        <v>4936590.7643627003</v>
      </c>
      <c r="CK48" s="5">
        <v>138632.87010777101</v>
      </c>
      <c r="CL48" s="5">
        <v>360338.99018853199</v>
      </c>
      <c r="CM48" s="5">
        <v>1845358.11182914</v>
      </c>
      <c r="CN48" s="43">
        <v>-1799187.9343135201</v>
      </c>
      <c r="CO48" s="5">
        <v>1188632.50736029</v>
      </c>
      <c r="CP48" s="5">
        <v>0</v>
      </c>
      <c r="CQ48" s="5">
        <v>7525.7281014504497</v>
      </c>
      <c r="CR48" s="5">
        <v>70.243422467115096</v>
      </c>
      <c r="CS48" s="5">
        <v>78.996466925964896</v>
      </c>
      <c r="CT48" s="5">
        <v>507.53036625881202</v>
      </c>
      <c r="CU48" s="5">
        <v>95.465832658077403</v>
      </c>
      <c r="CV48" s="5">
        <v>4190.84542041433</v>
      </c>
      <c r="CW48" s="5">
        <v>38335.375791534898</v>
      </c>
      <c r="CX48" s="5">
        <v>68.519863935931696</v>
      </c>
      <c r="CY48" s="5">
        <v>70.243422467115096</v>
      </c>
      <c r="CZ48" s="5">
        <v>78.996466925964896</v>
      </c>
      <c r="DA48" s="5">
        <v>507.53036625881202</v>
      </c>
      <c r="DB48" s="5">
        <v>95.465832658077403</v>
      </c>
      <c r="DC48" s="5">
        <v>4190.84542041433</v>
      </c>
      <c r="DD48" s="5">
        <v>38335.375791534898</v>
      </c>
      <c r="DE48" s="5">
        <v>103.85936240985301</v>
      </c>
      <c r="DF48" s="5">
        <v>1053.29490904303</v>
      </c>
      <c r="DG48" s="5">
        <v>71.294296113226906</v>
      </c>
      <c r="DH48" s="5">
        <v>74.734750830564593</v>
      </c>
      <c r="DI48" s="5">
        <v>102.83393543202899</v>
      </c>
      <c r="DJ48" s="5">
        <v>103.85936240985301</v>
      </c>
      <c r="DK48" s="5">
        <v>1053.29490904303</v>
      </c>
      <c r="DL48" s="5">
        <v>291.73449755557402</v>
      </c>
      <c r="DM48" s="5">
        <v>2214.7657982875498</v>
      </c>
      <c r="DN48" s="5">
        <v>71.294296113226906</v>
      </c>
      <c r="DO48" s="5">
        <v>74.734750830564593</v>
      </c>
      <c r="DP48" s="5">
        <v>102.83393543202899</v>
      </c>
    </row>
  </sheetData>
  <mergeCells count="1">
    <mergeCell ref="D1:F1"/>
  </mergeCells>
  <phoneticPr fontId="2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59"/>
  <sheetViews>
    <sheetView topLeftCell="A48" workbookViewId="0">
      <selection activeCell="H58" sqref="H58"/>
    </sheetView>
  </sheetViews>
  <sheetFormatPr defaultRowHeight="14.5" x14ac:dyDescent="0.35"/>
  <cols>
    <col min="12" max="12" width="11.26953125" customWidth="1"/>
    <col min="17" max="17" width="14" bestFit="1" customWidth="1"/>
  </cols>
  <sheetData>
    <row r="1" spans="1:17" x14ac:dyDescent="0.35">
      <c r="C1" t="s">
        <v>136</v>
      </c>
      <c r="E1" t="s">
        <v>105</v>
      </c>
      <c r="F1" t="s">
        <v>166</v>
      </c>
      <c r="G1" s="9" t="s">
        <v>217</v>
      </c>
      <c r="H1" t="s">
        <v>137</v>
      </c>
      <c r="I1" t="s">
        <v>138</v>
      </c>
      <c r="J1" t="s">
        <v>97</v>
      </c>
      <c r="K1" t="s">
        <v>139</v>
      </c>
      <c r="L1" t="s">
        <v>218</v>
      </c>
    </row>
    <row r="2" spans="1:17" x14ac:dyDescent="0.35">
      <c r="O2" t="s">
        <v>334</v>
      </c>
      <c r="P2" t="s">
        <v>335</v>
      </c>
    </row>
    <row r="3" spans="1:17" x14ac:dyDescent="0.35">
      <c r="A3">
        <v>2000</v>
      </c>
      <c r="B3">
        <v>1</v>
      </c>
      <c r="C3" s="7">
        <v>758726</v>
      </c>
      <c r="D3" s="7"/>
      <c r="E3">
        <v>19702.956999999999</v>
      </c>
      <c r="F3">
        <v>47287.096799999999</v>
      </c>
      <c r="G3">
        <v>-27584.139800000001</v>
      </c>
      <c r="H3">
        <v>922.22699999999998</v>
      </c>
      <c r="I3">
        <v>1171.665</v>
      </c>
      <c r="J3" s="7">
        <v>27275.254000000001</v>
      </c>
      <c r="K3">
        <v>912947</v>
      </c>
      <c r="L3" s="7">
        <v>-885671.74600000004</v>
      </c>
      <c r="O3" s="7">
        <v>758726</v>
      </c>
      <c r="P3">
        <v>845542.4278759961</v>
      </c>
      <c r="Q3" s="7">
        <v>-86816.427875996102</v>
      </c>
    </row>
    <row r="4" spans="1:17" x14ac:dyDescent="0.35">
      <c r="B4">
        <v>2</v>
      </c>
      <c r="C4" s="7">
        <v>764503</v>
      </c>
      <c r="D4" s="36">
        <v>7.6140793909790887E-3</v>
      </c>
      <c r="E4">
        <v>20124.135999999999</v>
      </c>
      <c r="F4">
        <v>51363.287499999999</v>
      </c>
      <c r="G4">
        <v>-31239.1515</v>
      </c>
      <c r="H4">
        <v>942.44299999999998</v>
      </c>
      <c r="I4">
        <v>1204.452</v>
      </c>
      <c r="J4" s="7">
        <v>27553.573</v>
      </c>
      <c r="K4">
        <v>0</v>
      </c>
      <c r="L4" s="7">
        <v>27553.573</v>
      </c>
      <c r="O4" s="7">
        <v>764503</v>
      </c>
      <c r="P4">
        <v>557727.34321709198</v>
      </c>
      <c r="Q4" s="7">
        <v>206775.65678290802</v>
      </c>
    </row>
    <row r="5" spans="1:17" x14ac:dyDescent="0.35">
      <c r="A5">
        <v>2001</v>
      </c>
      <c r="B5">
        <v>1</v>
      </c>
      <c r="C5" s="7">
        <v>770280</v>
      </c>
      <c r="D5" s="36">
        <v>7.5565432705954061E-3</v>
      </c>
      <c r="E5">
        <v>20545.314999999999</v>
      </c>
      <c r="F5">
        <v>55051.754999999997</v>
      </c>
      <c r="G5">
        <v>-34506.44</v>
      </c>
      <c r="H5">
        <v>962.65899999999999</v>
      </c>
      <c r="I5">
        <v>1237.239</v>
      </c>
      <c r="J5" s="7">
        <v>27831.892</v>
      </c>
      <c r="K5">
        <v>922227</v>
      </c>
      <c r="L5" s="7">
        <v>-894395.10800000001</v>
      </c>
      <c r="O5" s="7">
        <v>770280</v>
      </c>
      <c r="P5">
        <v>905192.35184346803</v>
      </c>
      <c r="Q5" s="7">
        <v>-134912.35184346803</v>
      </c>
    </row>
    <row r="6" spans="1:17" x14ac:dyDescent="0.35">
      <c r="B6">
        <v>2</v>
      </c>
      <c r="C6" s="7">
        <v>778140</v>
      </c>
      <c r="D6" s="36">
        <v>1.020408163265306E-2</v>
      </c>
      <c r="E6">
        <v>21283.0085</v>
      </c>
      <c r="F6">
        <v>63589.193099999997</v>
      </c>
      <c r="G6">
        <v>-42306.184599999993</v>
      </c>
      <c r="H6">
        <v>968.505</v>
      </c>
      <c r="I6">
        <v>1271.8610000000001</v>
      </c>
      <c r="J6" s="7">
        <v>28058.1675</v>
      </c>
      <c r="K6">
        <v>942443</v>
      </c>
      <c r="L6" s="7">
        <v>-914384.83250000002</v>
      </c>
      <c r="O6" s="7">
        <v>778140</v>
      </c>
      <c r="P6">
        <v>942071.07103519258</v>
      </c>
      <c r="Q6" s="7">
        <v>-163931.07103519258</v>
      </c>
    </row>
    <row r="7" spans="1:17" x14ac:dyDescent="0.35">
      <c r="A7">
        <v>2002</v>
      </c>
      <c r="B7">
        <v>1</v>
      </c>
      <c r="C7" s="7">
        <v>786000</v>
      </c>
      <c r="D7" s="36">
        <v>1.0101010101010102E-2</v>
      </c>
      <c r="E7">
        <v>22020.702000000001</v>
      </c>
      <c r="F7">
        <v>69856.301200000002</v>
      </c>
      <c r="G7">
        <v>-47835.599199999997</v>
      </c>
      <c r="H7">
        <v>974.351</v>
      </c>
      <c r="I7">
        <v>1306.4829999999999</v>
      </c>
      <c r="J7" s="7">
        <v>28284.442999999999</v>
      </c>
      <c r="K7">
        <v>962659</v>
      </c>
      <c r="L7" s="7">
        <v>-934374.55700000003</v>
      </c>
      <c r="O7" s="7">
        <v>786000</v>
      </c>
      <c r="P7">
        <v>969792.75472141721</v>
      </c>
      <c r="Q7" s="7">
        <v>-183792.75472141721</v>
      </c>
    </row>
    <row r="8" spans="1:17" x14ac:dyDescent="0.35">
      <c r="B8">
        <v>2</v>
      </c>
      <c r="C8" s="7">
        <v>795252</v>
      </c>
      <c r="D8" s="36">
        <v>1.1770992366412214E-2</v>
      </c>
      <c r="E8">
        <v>22786.127499999999</v>
      </c>
      <c r="F8">
        <v>76805.911300000007</v>
      </c>
      <c r="G8">
        <v>-54019.783800000005</v>
      </c>
      <c r="H8">
        <v>977.78500000000008</v>
      </c>
      <c r="I8">
        <v>1343.0425</v>
      </c>
      <c r="J8" s="7">
        <v>28441.737999999998</v>
      </c>
      <c r="K8">
        <v>968505</v>
      </c>
      <c r="L8" s="7">
        <v>-940063.26199999999</v>
      </c>
      <c r="O8" s="7">
        <v>795252</v>
      </c>
      <c r="P8">
        <v>992161.73986123223</v>
      </c>
      <c r="Q8" s="7">
        <v>-196909.73986123223</v>
      </c>
    </row>
    <row r="9" spans="1:17" x14ac:dyDescent="0.35">
      <c r="A9">
        <v>2003</v>
      </c>
      <c r="B9">
        <v>1</v>
      </c>
      <c r="C9" s="7">
        <v>804504</v>
      </c>
      <c r="D9" s="36">
        <v>1.1634048075327067E-2</v>
      </c>
      <c r="E9">
        <v>23551.553</v>
      </c>
      <c r="F9">
        <v>84257.043000000005</v>
      </c>
      <c r="G9">
        <v>-60705.490000000005</v>
      </c>
      <c r="H9">
        <v>981.21900000000005</v>
      </c>
      <c r="I9">
        <v>1379.6020000000001</v>
      </c>
      <c r="J9" s="7">
        <v>28599.032999999999</v>
      </c>
      <c r="K9">
        <v>974351</v>
      </c>
      <c r="L9" s="7">
        <v>-945751.96699999995</v>
      </c>
      <c r="O9" s="7">
        <v>804504</v>
      </c>
      <c r="P9">
        <v>1016553.5371464072</v>
      </c>
      <c r="Q9" s="7">
        <v>-212049.53714640718</v>
      </c>
    </row>
    <row r="10" spans="1:17" x14ac:dyDescent="0.35">
      <c r="B10">
        <v>2</v>
      </c>
      <c r="C10" s="7">
        <v>844287</v>
      </c>
      <c r="D10" s="36">
        <v>4.9450344560126487E-2</v>
      </c>
      <c r="E10">
        <v>24250.116000000002</v>
      </c>
      <c r="F10">
        <v>89349.993000000002</v>
      </c>
      <c r="G10">
        <v>-65099.877</v>
      </c>
      <c r="H10">
        <v>986.17499999999995</v>
      </c>
      <c r="I10">
        <v>1418.2075</v>
      </c>
      <c r="J10" s="7">
        <v>28802.068500000001</v>
      </c>
      <c r="K10">
        <v>977785</v>
      </c>
      <c r="L10" s="7">
        <v>-948982.93149999995</v>
      </c>
      <c r="O10" s="7">
        <v>844287</v>
      </c>
      <c r="P10">
        <v>1032026.4481810115</v>
      </c>
      <c r="Q10" s="7">
        <v>-187739.44818101148</v>
      </c>
    </row>
    <row r="11" spans="1:17" x14ac:dyDescent="0.35">
      <c r="A11">
        <v>2004</v>
      </c>
      <c r="B11">
        <v>1</v>
      </c>
      <c r="C11" s="7">
        <v>884070</v>
      </c>
      <c r="D11" s="36">
        <v>4.7120232811828207E-2</v>
      </c>
      <c r="E11">
        <v>24948.679</v>
      </c>
      <c r="F11">
        <v>94251.047999999995</v>
      </c>
      <c r="G11">
        <v>-69302.368999999992</v>
      </c>
      <c r="H11">
        <v>991.13099999999997</v>
      </c>
      <c r="I11">
        <v>1456.8130000000001</v>
      </c>
      <c r="J11" s="7">
        <v>29005.103999999999</v>
      </c>
      <c r="K11">
        <v>981219</v>
      </c>
      <c r="L11" s="7">
        <v>-952213.89599999995</v>
      </c>
      <c r="O11" s="7">
        <v>884070</v>
      </c>
      <c r="P11">
        <v>1046725.3795173659</v>
      </c>
      <c r="Q11" s="7">
        <v>-162655.37951736595</v>
      </c>
    </row>
    <row r="12" spans="1:17" x14ac:dyDescent="0.35">
      <c r="B12">
        <v>2</v>
      </c>
      <c r="C12" s="7">
        <v>890801.5</v>
      </c>
      <c r="D12" s="36">
        <v>7.6142160688633257E-3</v>
      </c>
      <c r="E12">
        <v>25716.738000000001</v>
      </c>
      <c r="F12">
        <v>102843.45170000001</v>
      </c>
      <c r="G12">
        <v>-77126.713700000008</v>
      </c>
      <c r="H12">
        <v>995.12750000000005</v>
      </c>
      <c r="I12">
        <v>1497.579</v>
      </c>
      <c r="J12" s="7">
        <v>29151.594499999999</v>
      </c>
      <c r="K12">
        <v>986175</v>
      </c>
      <c r="L12" s="7">
        <v>-957023.40549999999</v>
      </c>
      <c r="O12" s="7">
        <v>890801.5</v>
      </c>
      <c r="P12">
        <v>1075061.3305916106</v>
      </c>
      <c r="Q12" s="7">
        <v>-184259.83059161063</v>
      </c>
    </row>
    <row r="13" spans="1:17" x14ac:dyDescent="0.35">
      <c r="A13">
        <v>2005</v>
      </c>
      <c r="B13">
        <v>1</v>
      </c>
      <c r="C13" s="7">
        <v>897533</v>
      </c>
      <c r="D13" s="36">
        <v>7.556677890641181E-3</v>
      </c>
      <c r="E13">
        <v>26484.796999999999</v>
      </c>
      <c r="F13">
        <v>106573.5267</v>
      </c>
      <c r="G13">
        <v>-80088.729699999996</v>
      </c>
      <c r="H13">
        <v>999.12400000000002</v>
      </c>
      <c r="I13">
        <v>1538.345</v>
      </c>
      <c r="J13" s="7">
        <v>29298.084999999999</v>
      </c>
      <c r="K13">
        <v>991131</v>
      </c>
      <c r="L13" s="7">
        <v>-961832.91500000004</v>
      </c>
      <c r="O13" s="7">
        <v>897533</v>
      </c>
      <c r="P13">
        <v>1083785.8082037102</v>
      </c>
      <c r="Q13" s="7">
        <v>-186252.80820371024</v>
      </c>
    </row>
    <row r="14" spans="1:17" x14ac:dyDescent="0.35">
      <c r="B14">
        <v>2</v>
      </c>
      <c r="C14" s="7">
        <v>911412.5</v>
      </c>
      <c r="D14" s="36">
        <v>1.5464055360638551E-2</v>
      </c>
      <c r="E14">
        <v>27285.239000000001</v>
      </c>
      <c r="F14">
        <v>115436.9184</v>
      </c>
      <c r="G14">
        <v>-88151.679399999994</v>
      </c>
      <c r="H14">
        <v>1001.634</v>
      </c>
      <c r="I14">
        <v>1581.3924999999999</v>
      </c>
      <c r="J14" s="7">
        <v>29536.280999999999</v>
      </c>
      <c r="K14">
        <v>995127.5</v>
      </c>
      <c r="L14" s="7">
        <v>-965591.21900000004</v>
      </c>
      <c r="O14" s="7">
        <v>911412.5</v>
      </c>
      <c r="P14">
        <v>1110606.314076589</v>
      </c>
      <c r="Q14" s="7">
        <v>-199193.81407658895</v>
      </c>
    </row>
    <row r="15" spans="1:17" x14ac:dyDescent="0.35">
      <c r="A15">
        <v>2006</v>
      </c>
      <c r="B15">
        <v>1</v>
      </c>
      <c r="C15" s="7">
        <v>925292</v>
      </c>
      <c r="D15" s="36">
        <v>1.5228560064734683E-2</v>
      </c>
      <c r="E15">
        <v>28085.681</v>
      </c>
      <c r="F15">
        <v>118896.4736</v>
      </c>
      <c r="G15">
        <v>-90810.792600000001</v>
      </c>
      <c r="H15">
        <v>1004.144</v>
      </c>
      <c r="I15">
        <v>1624.44</v>
      </c>
      <c r="J15" s="7">
        <v>29774.476999999999</v>
      </c>
      <c r="K15">
        <v>999124</v>
      </c>
      <c r="L15" s="7">
        <v>-969349.52300000004</v>
      </c>
      <c r="O15" s="7">
        <v>925292</v>
      </c>
      <c r="P15">
        <v>1115631.2560021931</v>
      </c>
      <c r="Q15" s="7">
        <v>-190339.25600219308</v>
      </c>
    </row>
    <row r="16" spans="1:17" x14ac:dyDescent="0.35">
      <c r="B16">
        <v>2</v>
      </c>
      <c r="C16" s="7">
        <v>940586</v>
      </c>
      <c r="D16" s="36">
        <v>1.6528836302486135E-2</v>
      </c>
      <c r="E16">
        <v>28934.506000000001</v>
      </c>
      <c r="F16">
        <v>116439.2838</v>
      </c>
      <c r="G16">
        <v>-87504.777800000011</v>
      </c>
      <c r="H16">
        <v>1007.6835</v>
      </c>
      <c r="I16">
        <v>1669.8969999999999</v>
      </c>
      <c r="J16" s="7">
        <v>30016.546000000002</v>
      </c>
      <c r="K16">
        <v>1001634</v>
      </c>
      <c r="L16" s="7">
        <v>-971617.45400000003</v>
      </c>
      <c r="O16" s="7">
        <v>940586</v>
      </c>
      <c r="P16">
        <v>1096643.627200264</v>
      </c>
      <c r="Q16" s="7">
        <v>-156057.62720026402</v>
      </c>
    </row>
    <row r="17" spans="1:17" x14ac:dyDescent="0.35">
      <c r="A17">
        <v>2007</v>
      </c>
      <c r="B17">
        <v>1</v>
      </c>
      <c r="C17" s="7">
        <v>955880</v>
      </c>
      <c r="D17" s="36">
        <v>1.6260076165284194E-2</v>
      </c>
      <c r="E17">
        <v>29783.330999999998</v>
      </c>
      <c r="F17">
        <v>112631.2111</v>
      </c>
      <c r="G17">
        <v>-82847.880100000009</v>
      </c>
      <c r="H17">
        <v>1011.223</v>
      </c>
      <c r="I17">
        <v>1715.354</v>
      </c>
      <c r="J17" s="7">
        <v>30258.615000000002</v>
      </c>
      <c r="K17">
        <v>1004144</v>
      </c>
      <c r="L17" s="7">
        <v>-973885.38500000001</v>
      </c>
      <c r="O17" s="7">
        <v>955880</v>
      </c>
      <c r="P17">
        <v>1072207.4148536201</v>
      </c>
      <c r="Q17" s="7">
        <v>-116327.41485362011</v>
      </c>
    </row>
    <row r="18" spans="1:17" x14ac:dyDescent="0.35">
      <c r="B18">
        <v>2</v>
      </c>
      <c r="C18" s="7">
        <v>968638.5</v>
      </c>
      <c r="D18" s="36">
        <v>1.3347386701259572E-2</v>
      </c>
      <c r="E18">
        <v>30600.173500000001</v>
      </c>
      <c r="F18">
        <v>122396.54670000001</v>
      </c>
      <c r="G18">
        <v>-91796.373200000002</v>
      </c>
      <c r="H18">
        <v>1011.729</v>
      </c>
      <c r="I18">
        <v>1763.355</v>
      </c>
      <c r="J18" s="7">
        <v>30442.371500000001</v>
      </c>
      <c r="K18">
        <v>1007683.5</v>
      </c>
      <c r="L18" s="7">
        <v>-977241.12849999999</v>
      </c>
      <c r="O18" s="7">
        <v>968638.5</v>
      </c>
      <c r="P18">
        <v>1099187.9964344185</v>
      </c>
      <c r="Q18" s="7">
        <v>-130549.49643441848</v>
      </c>
    </row>
    <row r="19" spans="1:17" x14ac:dyDescent="0.35">
      <c r="A19">
        <v>2008</v>
      </c>
      <c r="B19">
        <v>1</v>
      </c>
      <c r="C19" s="7">
        <v>981397</v>
      </c>
      <c r="D19" s="36">
        <v>1.3171580522558209E-2</v>
      </c>
      <c r="E19">
        <v>31417.016</v>
      </c>
      <c r="F19">
        <v>142247.11240000001</v>
      </c>
      <c r="G19">
        <v>-110830.09640000001</v>
      </c>
      <c r="H19">
        <v>1012.235</v>
      </c>
      <c r="I19">
        <v>1811.356</v>
      </c>
      <c r="J19" s="7">
        <v>30626.128000000001</v>
      </c>
      <c r="K19">
        <v>1011223</v>
      </c>
      <c r="L19" s="7">
        <v>-980596.87199999997</v>
      </c>
      <c r="O19" s="7">
        <v>981397</v>
      </c>
      <c r="P19">
        <v>1166845.8408390521</v>
      </c>
      <c r="Q19" s="7">
        <v>-185448.84083905211</v>
      </c>
    </row>
    <row r="20" spans="1:17" x14ac:dyDescent="0.35">
      <c r="B20">
        <v>2</v>
      </c>
      <c r="C20" s="7">
        <v>1006138</v>
      </c>
      <c r="D20" s="36">
        <v>2.5209981281785046E-2</v>
      </c>
      <c r="E20">
        <v>32296.161499999998</v>
      </c>
      <c r="F20">
        <v>175404.5974</v>
      </c>
      <c r="G20">
        <v>-143108.43590000001</v>
      </c>
      <c r="H20">
        <v>1013.2495</v>
      </c>
      <c r="I20">
        <v>1862.0435</v>
      </c>
      <c r="J20" s="7">
        <v>30890.952000000001</v>
      </c>
      <c r="K20">
        <v>1011729</v>
      </c>
      <c r="L20" s="7">
        <v>-980838.04799999995</v>
      </c>
      <c r="O20" s="7">
        <v>1006138</v>
      </c>
      <c r="P20">
        <v>1286784.3298835731</v>
      </c>
      <c r="Q20" s="7">
        <v>-280646.32988357311</v>
      </c>
    </row>
    <row r="21" spans="1:17" x14ac:dyDescent="0.35">
      <c r="A21">
        <v>2009</v>
      </c>
      <c r="B21">
        <v>1</v>
      </c>
      <c r="C21" s="7">
        <v>1030879</v>
      </c>
      <c r="D21" s="36">
        <v>2.4590066173825063E-2</v>
      </c>
      <c r="E21">
        <v>33175.307000000001</v>
      </c>
      <c r="F21">
        <v>181556.20600000001</v>
      </c>
      <c r="G21">
        <v>-148380.899</v>
      </c>
      <c r="H21">
        <v>1014.264</v>
      </c>
      <c r="I21">
        <v>1912.731</v>
      </c>
      <c r="J21" s="7">
        <v>31155.776000000002</v>
      </c>
      <c r="K21">
        <v>1012235</v>
      </c>
      <c r="L21" s="7">
        <v>-981079.22400000005</v>
      </c>
      <c r="O21" s="7">
        <v>1030879</v>
      </c>
      <c r="P21">
        <v>1297798.6673501544</v>
      </c>
      <c r="Q21" s="7">
        <v>-266919.66735015437</v>
      </c>
    </row>
    <row r="22" spans="1:17" x14ac:dyDescent="0.35">
      <c r="B22">
        <v>2</v>
      </c>
      <c r="C22" s="7">
        <v>1046820.5</v>
      </c>
      <c r="D22" s="36">
        <v>1.5463987529089254E-2</v>
      </c>
      <c r="E22">
        <v>33776.932000000001</v>
      </c>
      <c r="F22">
        <v>177823.50469999999</v>
      </c>
      <c r="G22">
        <v>-144046.57269999999</v>
      </c>
      <c r="H22">
        <v>1017.8389999999999</v>
      </c>
      <c r="I22">
        <v>1966.2550000000001</v>
      </c>
      <c r="J22" s="7">
        <v>31329.039000000001</v>
      </c>
      <c r="K22">
        <v>1013249.5</v>
      </c>
      <c r="L22" s="7">
        <v>-981920.46100000001</v>
      </c>
      <c r="O22" s="7">
        <v>1046820.5</v>
      </c>
      <c r="P22">
        <v>1272388.0968412261</v>
      </c>
      <c r="Q22" s="7">
        <v>-225567.5968412261</v>
      </c>
    </row>
    <row r="23" spans="1:17" x14ac:dyDescent="0.35">
      <c r="A23">
        <v>2010</v>
      </c>
      <c r="B23">
        <v>1</v>
      </c>
      <c r="C23" s="7">
        <v>1062762</v>
      </c>
      <c r="D23" s="36">
        <v>1.5228494283403888E-2</v>
      </c>
      <c r="E23">
        <v>34378.557000000001</v>
      </c>
      <c r="F23">
        <v>164510.5116</v>
      </c>
      <c r="G23">
        <v>-130131.9546</v>
      </c>
      <c r="H23">
        <v>1021.414</v>
      </c>
      <c r="I23">
        <v>2019.779</v>
      </c>
      <c r="J23" s="7">
        <v>31502.302</v>
      </c>
      <c r="K23">
        <v>1014264</v>
      </c>
      <c r="L23" s="7">
        <v>-982761.69799999997</v>
      </c>
      <c r="O23" s="7">
        <v>1062762</v>
      </c>
      <c r="P23">
        <v>1208336.856400768</v>
      </c>
      <c r="Q23" s="7">
        <v>-145574.85640076804</v>
      </c>
    </row>
    <row r="24" spans="1:17" x14ac:dyDescent="0.35">
      <c r="B24">
        <v>2</v>
      </c>
      <c r="C24" s="7">
        <v>1069761</v>
      </c>
      <c r="D24" s="36">
        <v>6.5856701688618898E-3</v>
      </c>
      <c r="E24">
        <v>35226.296999999999</v>
      </c>
      <c r="F24">
        <v>179799.56701619001</v>
      </c>
      <c r="G24">
        <v>-144573.27001619001</v>
      </c>
      <c r="H24">
        <v>1027.617</v>
      </c>
      <c r="I24">
        <v>2076.299</v>
      </c>
      <c r="J24" s="7">
        <v>31840.1715</v>
      </c>
      <c r="K24">
        <v>1017839</v>
      </c>
      <c r="L24" s="7">
        <v>-985998.82849999995</v>
      </c>
      <c r="O24" s="7">
        <v>1069761</v>
      </c>
      <c r="P24">
        <v>1261637.4892308987</v>
      </c>
      <c r="Q24" s="7">
        <v>-191876.48923089867</v>
      </c>
    </row>
    <row r="25" spans="1:17" x14ac:dyDescent="0.35">
      <c r="A25">
        <v>2011</v>
      </c>
      <c r="B25">
        <v>1</v>
      </c>
      <c r="C25" s="7">
        <v>1076760</v>
      </c>
      <c r="D25" s="36">
        <v>6.5425828759881881E-3</v>
      </c>
      <c r="E25">
        <v>36074.036999999997</v>
      </c>
      <c r="F25">
        <v>186324.32863671001</v>
      </c>
      <c r="G25">
        <v>-150250.29163671</v>
      </c>
      <c r="H25">
        <v>1033.82</v>
      </c>
      <c r="I25">
        <v>2132.819</v>
      </c>
      <c r="J25" s="7">
        <v>32178.041000000001</v>
      </c>
      <c r="K25">
        <v>1021414</v>
      </c>
      <c r="L25" s="7">
        <v>-989235.95900000003</v>
      </c>
      <c r="O25" s="7">
        <v>1076760</v>
      </c>
      <c r="P25">
        <v>1279588.657680263</v>
      </c>
      <c r="Q25" s="7">
        <v>-202828.65768026304</v>
      </c>
    </row>
    <row r="26" spans="1:17" x14ac:dyDescent="0.35">
      <c r="B26">
        <v>2</v>
      </c>
      <c r="C26" s="7">
        <v>2201241</v>
      </c>
      <c r="D26" s="36">
        <v>1.0443190683160593</v>
      </c>
      <c r="E26">
        <v>36614.592499999999</v>
      </c>
      <c r="F26">
        <v>192849.09025722899</v>
      </c>
      <c r="G26">
        <v>-156234.49775722899</v>
      </c>
      <c r="H26">
        <v>1677.2984999999999</v>
      </c>
      <c r="I26">
        <v>1809.223</v>
      </c>
      <c r="J26" s="7">
        <v>30802.459000000003</v>
      </c>
      <c r="K26">
        <v>1027617</v>
      </c>
      <c r="L26" s="7">
        <v>-996814.54099999997</v>
      </c>
      <c r="O26" s="7">
        <v>2201241</v>
      </c>
      <c r="P26">
        <v>2071361.5116393808</v>
      </c>
      <c r="Q26" s="7">
        <v>129879.48836061917</v>
      </c>
    </row>
    <row r="27" spans="1:17" x14ac:dyDescent="0.35">
      <c r="A27">
        <v>2012</v>
      </c>
      <c r="B27">
        <v>1</v>
      </c>
      <c r="C27" s="7">
        <v>3325722</v>
      </c>
      <c r="D27" s="36">
        <v>0.51083956731679991</v>
      </c>
      <c r="E27">
        <v>37155.148000000001</v>
      </c>
      <c r="F27">
        <v>199373.851877749</v>
      </c>
      <c r="G27">
        <v>-162218.70387774898</v>
      </c>
      <c r="H27">
        <v>2320.777</v>
      </c>
      <c r="I27">
        <v>1485.627</v>
      </c>
      <c r="J27" s="7">
        <v>29426.877</v>
      </c>
      <c r="K27">
        <v>1033820</v>
      </c>
      <c r="L27" s="7">
        <v>-1004393.123</v>
      </c>
      <c r="O27" s="7">
        <v>3325722</v>
      </c>
      <c r="P27">
        <v>2863134.3655985021</v>
      </c>
      <c r="Q27" s="7">
        <v>462587.6344014979</v>
      </c>
    </row>
    <row r="28" spans="1:17" x14ac:dyDescent="0.35">
      <c r="B28">
        <v>2</v>
      </c>
      <c r="C28" s="7">
        <v>3305074.5</v>
      </c>
      <c r="D28" s="36">
        <v>-6.2084263206605966E-3</v>
      </c>
      <c r="E28">
        <v>37213.822999999997</v>
      </c>
      <c r="F28">
        <v>205898.61349826801</v>
      </c>
      <c r="G28">
        <v>-168684.790498268</v>
      </c>
      <c r="H28">
        <v>2215.1265000000003</v>
      </c>
      <c r="I28">
        <v>897.17700000000002</v>
      </c>
      <c r="J28" s="7">
        <v>30069.7075</v>
      </c>
      <c r="K28">
        <v>1677298.5</v>
      </c>
      <c r="L28" s="7">
        <v>-1647228.7925</v>
      </c>
      <c r="O28" s="7">
        <v>3305074.5</v>
      </c>
      <c r="P28">
        <v>3131315.1078754319</v>
      </c>
      <c r="Q28" s="7">
        <v>173759.39212456811</v>
      </c>
    </row>
    <row r="29" spans="1:17" x14ac:dyDescent="0.35">
      <c r="A29">
        <v>2013</v>
      </c>
      <c r="B29">
        <v>1</v>
      </c>
      <c r="C29" s="7">
        <v>3284427</v>
      </c>
      <c r="D29" s="36">
        <v>-6.2472116740484975E-3</v>
      </c>
      <c r="E29">
        <v>37272.498</v>
      </c>
      <c r="F29">
        <v>212423.37511878801</v>
      </c>
      <c r="G29">
        <v>-175150.87711878802</v>
      </c>
      <c r="H29">
        <v>2109.4760000000001</v>
      </c>
      <c r="I29">
        <v>308.72699999999998</v>
      </c>
      <c r="J29" s="7">
        <v>30712.538</v>
      </c>
      <c r="K29">
        <v>2320777</v>
      </c>
      <c r="L29" s="7">
        <v>-2290064.4619999998</v>
      </c>
      <c r="O29" s="7">
        <v>3284427</v>
      </c>
      <c r="P29">
        <v>3399495.8501523659</v>
      </c>
      <c r="Q29" s="7">
        <v>-115068.85015236586</v>
      </c>
    </row>
    <row r="30" spans="1:17" x14ac:dyDescent="0.35">
      <c r="B30">
        <v>2</v>
      </c>
      <c r="C30" s="7">
        <v>2743681</v>
      </c>
      <c r="D30" s="36">
        <v>-0.16463937240803342</v>
      </c>
      <c r="E30">
        <v>36791.446000000004</v>
      </c>
      <c r="F30">
        <v>218948.136739307</v>
      </c>
      <c r="G30">
        <v>-182156.690739307</v>
      </c>
      <c r="H30">
        <v>1864.6534999999999</v>
      </c>
      <c r="I30">
        <v>291.86200000000002</v>
      </c>
      <c r="J30" s="7">
        <v>32077.205000000002</v>
      </c>
      <c r="K30">
        <v>2215126.5</v>
      </c>
      <c r="L30" s="7">
        <v>-2183049.2949999999</v>
      </c>
      <c r="O30" s="7">
        <v>2743681</v>
      </c>
      <c r="P30">
        <v>3131111.6465916787</v>
      </c>
      <c r="Q30" s="7">
        <v>-387430.64659167873</v>
      </c>
    </row>
    <row r="31" spans="1:17" x14ac:dyDescent="0.35">
      <c r="A31">
        <v>2014</v>
      </c>
      <c r="B31">
        <v>1</v>
      </c>
      <c r="C31" s="7">
        <v>2202935</v>
      </c>
      <c r="D31" s="36">
        <v>-0.19708778097745328</v>
      </c>
      <c r="E31">
        <v>36310.394</v>
      </c>
      <c r="F31">
        <v>225472.898359827</v>
      </c>
      <c r="G31">
        <v>-189162.504359827</v>
      </c>
      <c r="H31">
        <v>1619.8309999999999</v>
      </c>
      <c r="I31">
        <v>274.99700000000001</v>
      </c>
      <c r="J31" s="7">
        <v>33441.872000000003</v>
      </c>
      <c r="K31">
        <v>2109476</v>
      </c>
      <c r="L31" s="7">
        <v>-2076034.128</v>
      </c>
      <c r="O31" s="7">
        <v>2202935</v>
      </c>
      <c r="P31">
        <v>2862727.4430309962</v>
      </c>
      <c r="Q31" s="7">
        <v>-659792.44303099625</v>
      </c>
    </row>
    <row r="32" spans="1:17" x14ac:dyDescent="0.35">
      <c r="B32">
        <v>2</v>
      </c>
      <c r="C32" s="7">
        <v>2030705</v>
      </c>
      <c r="D32" s="36">
        <v>-7.8182061658650839E-2</v>
      </c>
      <c r="E32">
        <v>38379.345500000003</v>
      </c>
      <c r="F32">
        <v>231997.65998034601</v>
      </c>
      <c r="G32">
        <v>-193618.31448034602</v>
      </c>
      <c r="H32">
        <v>1619.8305</v>
      </c>
      <c r="I32">
        <v>460.04199999999997</v>
      </c>
      <c r="J32" s="7">
        <v>34821.548500000004</v>
      </c>
      <c r="K32">
        <v>1864653.5</v>
      </c>
      <c r="L32" s="7">
        <v>-1829831.9515</v>
      </c>
      <c r="O32" s="7">
        <v>2030705</v>
      </c>
      <c r="P32">
        <v>2753547.9854958854</v>
      </c>
      <c r="Q32" s="7">
        <v>-722842.98549588537</v>
      </c>
    </row>
    <row r="33" spans="1:17" x14ac:dyDescent="0.35">
      <c r="A33">
        <v>2015</v>
      </c>
      <c r="B33">
        <v>1</v>
      </c>
      <c r="C33" s="7">
        <v>1858475</v>
      </c>
      <c r="D33" s="36">
        <v>-8.4812909802260791E-2</v>
      </c>
      <c r="E33">
        <v>40448.296999999999</v>
      </c>
      <c r="F33">
        <v>238522.421600865</v>
      </c>
      <c r="G33">
        <v>-198074.12460086501</v>
      </c>
      <c r="H33">
        <v>1619.83</v>
      </c>
      <c r="I33">
        <v>645.08699999999999</v>
      </c>
      <c r="J33" s="7">
        <v>36201.224999999999</v>
      </c>
      <c r="K33">
        <v>1619831</v>
      </c>
      <c r="L33" s="7">
        <v>-1583629.7749999999</v>
      </c>
      <c r="O33" s="7">
        <v>1858475</v>
      </c>
      <c r="P33">
        <v>2644368.5279607745</v>
      </c>
      <c r="Q33" s="7">
        <v>-785893.52796077449</v>
      </c>
    </row>
    <row r="34" spans="1:17" x14ac:dyDescent="0.35">
      <c r="B34">
        <v>2</v>
      </c>
      <c r="C34" s="7">
        <v>2351914</v>
      </c>
      <c r="D34" s="36">
        <v>0.26550747252451606</v>
      </c>
      <c r="E34">
        <v>43815.616000000002</v>
      </c>
      <c r="F34">
        <v>245047.183221385</v>
      </c>
      <c r="G34">
        <v>-201231.56722138499</v>
      </c>
      <c r="H34">
        <v>1472.271</v>
      </c>
      <c r="I34">
        <v>596.84100000000001</v>
      </c>
      <c r="J34" s="7">
        <v>37629.629000000001</v>
      </c>
      <c r="K34">
        <v>1619830.5</v>
      </c>
      <c r="L34" s="7">
        <v>-1582200.871</v>
      </c>
      <c r="O34" s="7">
        <v>2351914</v>
      </c>
      <c r="P34">
        <v>2508783.9502254641</v>
      </c>
      <c r="Q34" s="7">
        <v>-156869.95022546407</v>
      </c>
    </row>
    <row r="35" spans="1:17" x14ac:dyDescent="0.35">
      <c r="A35">
        <v>2016</v>
      </c>
      <c r="B35">
        <v>1</v>
      </c>
      <c r="C35" s="7">
        <v>2845353</v>
      </c>
      <c r="D35" s="36">
        <v>0.20980316457149367</v>
      </c>
      <c r="E35">
        <v>47182.934999999998</v>
      </c>
      <c r="F35">
        <v>251571.94484190401</v>
      </c>
      <c r="G35">
        <v>-204389.00984190402</v>
      </c>
      <c r="H35">
        <v>1324.712</v>
      </c>
      <c r="I35">
        <v>548.59500000000003</v>
      </c>
      <c r="J35" s="7">
        <v>39058.033000000003</v>
      </c>
      <c r="K35">
        <v>1619830</v>
      </c>
      <c r="L35" s="7">
        <v>-1580771.9669999999</v>
      </c>
      <c r="O35" s="7">
        <v>2845353</v>
      </c>
      <c r="P35">
        <v>2373199.3724901509</v>
      </c>
      <c r="Q35" s="7">
        <v>472153.62750984915</v>
      </c>
    </row>
    <row r="36" spans="1:17" x14ac:dyDescent="0.35">
      <c r="B36">
        <v>2</v>
      </c>
      <c r="C36" s="7">
        <v>3085537.5</v>
      </c>
      <c r="D36" s="36">
        <v>8.441290061373756E-2</v>
      </c>
      <c r="E36">
        <v>53210.616000000002</v>
      </c>
      <c r="F36">
        <v>258096.70646242399</v>
      </c>
      <c r="G36">
        <v>-204886.09046242398</v>
      </c>
      <c r="H36">
        <v>1471.453</v>
      </c>
      <c r="I36">
        <v>1017.111</v>
      </c>
      <c r="J36" s="7">
        <v>43875.9565</v>
      </c>
      <c r="K36">
        <v>1472271</v>
      </c>
      <c r="L36" s="7">
        <v>-1428395.0434999999</v>
      </c>
      <c r="O36" s="7">
        <v>3085537.5</v>
      </c>
      <c r="P36">
        <v>2374531.7030288312</v>
      </c>
      <c r="Q36" s="7">
        <v>711005.79697116883</v>
      </c>
    </row>
    <row r="37" spans="1:17" x14ac:dyDescent="0.35">
      <c r="A37">
        <v>2017</v>
      </c>
      <c r="B37">
        <v>1</v>
      </c>
      <c r="C37" s="7">
        <v>3325722</v>
      </c>
      <c r="D37" s="36">
        <v>7.7842029144030822E-2</v>
      </c>
      <c r="E37">
        <v>59238.296999999999</v>
      </c>
      <c r="F37">
        <v>264621.468082943</v>
      </c>
      <c r="G37">
        <v>-205383.17108294301</v>
      </c>
      <c r="H37">
        <v>1618.194</v>
      </c>
      <c r="I37">
        <v>1485.627</v>
      </c>
      <c r="J37" s="7">
        <v>48693.88</v>
      </c>
      <c r="K37">
        <v>1324712</v>
      </c>
      <c r="L37" s="7">
        <v>-1276018.1200000001</v>
      </c>
      <c r="O37" s="7">
        <v>3325722</v>
      </c>
      <c r="P37">
        <v>2375864.0335675087</v>
      </c>
      <c r="Q37" s="7">
        <v>949857.96643249132</v>
      </c>
    </row>
    <row r="38" spans="1:17" x14ac:dyDescent="0.35">
      <c r="B38">
        <v>2</v>
      </c>
      <c r="C38" s="7">
        <v>2365280.5</v>
      </c>
      <c r="D38" s="36">
        <v>-0.28879187737279305</v>
      </c>
      <c r="E38">
        <v>59219.416859999998</v>
      </c>
      <c r="F38">
        <v>271146.22970346297</v>
      </c>
      <c r="G38">
        <v>-211926.81284346298</v>
      </c>
      <c r="H38">
        <v>1281.8630000000001</v>
      </c>
      <c r="I38">
        <v>1636.4635000000001</v>
      </c>
      <c r="J38" s="7">
        <v>51786.388500000001</v>
      </c>
      <c r="K38">
        <v>1471453</v>
      </c>
      <c r="L38" s="7">
        <v>-1419666.6115000001</v>
      </c>
      <c r="O38" s="7">
        <v>2365280.5</v>
      </c>
      <c r="P38">
        <v>2056380.1735553229</v>
      </c>
      <c r="Q38" s="7">
        <v>308900.32644467708</v>
      </c>
    </row>
    <row r="39" spans="1:17" x14ac:dyDescent="0.35">
      <c r="A39">
        <v>2018</v>
      </c>
      <c r="B39">
        <v>1</v>
      </c>
      <c r="C39" s="7">
        <v>1404839</v>
      </c>
      <c r="D39" s="36">
        <v>-0.40605818210567413</v>
      </c>
      <c r="E39">
        <v>59200.536719999996</v>
      </c>
      <c r="F39">
        <v>277670.99132398202</v>
      </c>
      <c r="G39">
        <v>-218470.45460398201</v>
      </c>
      <c r="H39">
        <v>945.53200000000004</v>
      </c>
      <c r="I39">
        <v>1787.3</v>
      </c>
      <c r="J39" s="7">
        <v>54878.896999999997</v>
      </c>
      <c r="K39">
        <v>1618194</v>
      </c>
      <c r="L39" s="7">
        <v>-1563315.1030000001</v>
      </c>
      <c r="O39" s="7">
        <v>1404839</v>
      </c>
      <c r="P39">
        <v>1736896.3135431341</v>
      </c>
      <c r="Q39" s="7">
        <v>-332057.31354313414</v>
      </c>
    </row>
    <row r="40" spans="1:17" x14ac:dyDescent="0.35">
      <c r="B40">
        <v>2</v>
      </c>
      <c r="C40" s="7">
        <v>1253724.5</v>
      </c>
      <c r="D40" s="36">
        <v>-0.10756713046833125</v>
      </c>
      <c r="E40">
        <v>56902.286529999998</v>
      </c>
      <c r="F40">
        <v>284195.75294450199</v>
      </c>
      <c r="G40">
        <v>-227293.46641450201</v>
      </c>
      <c r="H40">
        <v>1569.7485000000001</v>
      </c>
      <c r="I40">
        <v>1564.932</v>
      </c>
      <c r="J40" s="7">
        <v>51847.452499999999</v>
      </c>
      <c r="K40">
        <v>1281863</v>
      </c>
      <c r="L40" s="7">
        <v>-1230015.5475000001</v>
      </c>
      <c r="O40" s="7">
        <v>1253724.5</v>
      </c>
      <c r="P40">
        <v>2378291.7908510296</v>
      </c>
      <c r="Q40" s="7">
        <v>-1124567.2908510296</v>
      </c>
    </row>
    <row r="41" spans="1:17" x14ac:dyDescent="0.35">
      <c r="A41">
        <v>2019</v>
      </c>
      <c r="B41">
        <v>1</v>
      </c>
      <c r="C41" s="7">
        <v>1102610</v>
      </c>
      <c r="D41" s="36">
        <v>-0.12053246147778081</v>
      </c>
      <c r="E41">
        <v>54604.036340000006</v>
      </c>
      <c r="F41">
        <v>290720.51456502097</v>
      </c>
      <c r="G41">
        <v>-236116.47822502098</v>
      </c>
      <c r="H41">
        <v>2193.9650000000001</v>
      </c>
      <c r="I41">
        <v>1342.5640000000001</v>
      </c>
      <c r="J41" s="7">
        <v>48816.008000000002</v>
      </c>
      <c r="K41">
        <v>945532</v>
      </c>
      <c r="L41" s="7">
        <v>-896715.99199999997</v>
      </c>
      <c r="O41" s="7">
        <v>1102610</v>
      </c>
      <c r="P41">
        <v>3019687.2681589206</v>
      </c>
      <c r="Q41" s="7">
        <v>-1917077.2681589206</v>
      </c>
    </row>
    <row r="42" spans="1:17" x14ac:dyDescent="0.35">
      <c r="B42">
        <v>2</v>
      </c>
      <c r="C42" s="7">
        <v>1167714.5</v>
      </c>
      <c r="D42" s="36">
        <v>5.9045809488395717E-2</v>
      </c>
      <c r="E42">
        <v>54626.622290000007</v>
      </c>
      <c r="F42">
        <v>297245.27618554101</v>
      </c>
      <c r="G42">
        <v>-242618.65389554101</v>
      </c>
      <c r="H42">
        <v>1813.3120725000001</v>
      </c>
      <c r="I42">
        <v>1288.5965000000001</v>
      </c>
      <c r="J42" s="7">
        <v>42934.085500000001</v>
      </c>
      <c r="K42">
        <v>1569748.5</v>
      </c>
      <c r="L42" s="7">
        <v>-1526814.4145</v>
      </c>
      <c r="O42" s="7">
        <v>1167714.5</v>
      </c>
      <c r="P42">
        <v>2867343.8867466627</v>
      </c>
      <c r="Q42" s="7">
        <v>-1699629.3867466627</v>
      </c>
    </row>
    <row r="43" spans="1:17" x14ac:dyDescent="0.35">
      <c r="A43">
        <v>2020</v>
      </c>
      <c r="B43">
        <v>1</v>
      </c>
      <c r="C43" s="7">
        <v>1232819</v>
      </c>
      <c r="D43" s="36">
        <v>5.5753782281542277E-2</v>
      </c>
      <c r="E43">
        <v>54649.20824</v>
      </c>
      <c r="F43">
        <v>303770.03780605999</v>
      </c>
      <c r="G43">
        <v>-249120.82956605998</v>
      </c>
      <c r="H43">
        <v>1432.6591450000001</v>
      </c>
      <c r="I43">
        <v>1234.6289999999999</v>
      </c>
      <c r="J43" s="7">
        <v>37052.163</v>
      </c>
      <c r="K43">
        <v>2193965</v>
      </c>
      <c r="L43" s="7">
        <v>-2156912.8369999998</v>
      </c>
      <c r="O43" s="7">
        <v>1232819</v>
      </c>
      <c r="P43">
        <v>2715000.5053344006</v>
      </c>
      <c r="Q43" s="7">
        <v>-1482181.5053344006</v>
      </c>
    </row>
    <row r="44" spans="1:17" x14ac:dyDescent="0.35">
      <c r="B44">
        <v>2</v>
      </c>
      <c r="C44" s="7">
        <v>1200266.75</v>
      </c>
      <c r="D44" s="36">
        <v>-2.6404727701308951E-2</v>
      </c>
      <c r="E44">
        <v>54637.915265000003</v>
      </c>
      <c r="F44">
        <v>310294.79942658002</v>
      </c>
      <c r="G44">
        <v>-255656.88416158</v>
      </c>
      <c r="H44">
        <v>1622.9856087500002</v>
      </c>
      <c r="I44">
        <v>1261.61275</v>
      </c>
      <c r="J44" s="7">
        <v>39993.124250000001</v>
      </c>
      <c r="K44">
        <v>1813312.0725</v>
      </c>
      <c r="L44" s="7">
        <v>-1773318.9482499999</v>
      </c>
      <c r="O44" s="7">
        <v>1200266.75</v>
      </c>
      <c r="P44">
        <v>2806860.7244329881</v>
      </c>
      <c r="Q44" s="7">
        <v>-1606593.9744329881</v>
      </c>
    </row>
    <row r="45" spans="1:17" x14ac:dyDescent="0.35">
      <c r="A45">
        <v>2021</v>
      </c>
      <c r="B45">
        <v>1</v>
      </c>
      <c r="C45" s="7">
        <v>2354268.4976771199</v>
      </c>
      <c r="D45" s="36">
        <v>0.96145439976331926</v>
      </c>
      <c r="E45">
        <v>57054.9182043322</v>
      </c>
      <c r="F45">
        <v>316819.56104709901</v>
      </c>
      <c r="G45">
        <v>-259764.6428427668</v>
      </c>
      <c r="H45">
        <v>1779.1902879007</v>
      </c>
      <c r="I45">
        <v>1153.28751277584</v>
      </c>
      <c r="J45" s="7">
        <v>44703.189894889598</v>
      </c>
      <c r="K45">
        <v>1432659.145</v>
      </c>
      <c r="L45" s="7">
        <v>-1387955.9551051105</v>
      </c>
      <c r="O45" s="7">
        <v>2354268.4976771199</v>
      </c>
      <c r="P45">
        <v>2882116.6995033482</v>
      </c>
      <c r="Q45" s="7">
        <v>-527848.20182622829</v>
      </c>
    </row>
    <row r="46" spans="1:17" x14ac:dyDescent="0.35">
      <c r="B46">
        <v>2</v>
      </c>
      <c r="C46" s="7">
        <v>2393737.8361626598</v>
      </c>
      <c r="D46" s="36">
        <v>1.6765011520344007E-2</v>
      </c>
      <c r="E46">
        <v>58014.371324306601</v>
      </c>
      <c r="F46">
        <v>323344.32266761898</v>
      </c>
      <c r="G46">
        <v>-265329.95134331239</v>
      </c>
      <c r="H46">
        <v>1801.39945209292</v>
      </c>
      <c r="I46">
        <v>1143.9187993612102</v>
      </c>
      <c r="J46" s="7">
        <v>45192.185768461502</v>
      </c>
      <c r="K46">
        <v>1622985.6087500001</v>
      </c>
      <c r="L46" s="7">
        <v>-1577793.4229815386</v>
      </c>
      <c r="O46" s="7">
        <v>2393737.8361626598</v>
      </c>
      <c r="P46">
        <v>2996438.9837213466</v>
      </c>
      <c r="Q46" s="7">
        <v>-602701.14755868679</v>
      </c>
    </row>
    <row r="47" spans="1:17" x14ac:dyDescent="0.35">
      <c r="A47">
        <v>2022</v>
      </c>
      <c r="B47">
        <v>1</v>
      </c>
      <c r="C47" s="7">
        <v>2433207.1746482002</v>
      </c>
      <c r="D47" s="36">
        <v>1.6488580281962976E-2</v>
      </c>
      <c r="E47">
        <v>58973.824444281105</v>
      </c>
      <c r="F47">
        <v>329869.08428813802</v>
      </c>
      <c r="G47">
        <v>-270895.25984385691</v>
      </c>
      <c r="H47">
        <v>1823.60861628515</v>
      </c>
      <c r="I47">
        <v>1134.5500859465699</v>
      </c>
      <c r="J47" s="7">
        <v>45681.181642033298</v>
      </c>
      <c r="K47">
        <v>1779190.2879007</v>
      </c>
      <c r="L47" s="7">
        <v>-1733509.1062586666</v>
      </c>
      <c r="O47" s="7">
        <v>2433207.1746482002</v>
      </c>
      <c r="P47">
        <v>3098920.2921259208</v>
      </c>
      <c r="Q47" s="7">
        <v>-665713.1174777206</v>
      </c>
    </row>
    <row r="48" spans="1:17" x14ac:dyDescent="0.35">
      <c r="B48">
        <v>2</v>
      </c>
      <c r="C48" s="7">
        <v>2472676.5131337298</v>
      </c>
      <c r="D48" s="36">
        <v>1.6221117090547882E-2</v>
      </c>
      <c r="E48">
        <v>59933.277564255601</v>
      </c>
      <c r="F48">
        <v>336393.845908658</v>
      </c>
      <c r="G48">
        <v>-276460.56834440242</v>
      </c>
      <c r="H48">
        <v>1845.81778047737</v>
      </c>
      <c r="I48">
        <v>1125.18137253194</v>
      </c>
      <c r="J48" s="7">
        <v>46170.177515605101</v>
      </c>
      <c r="K48">
        <v>1801399.45209292</v>
      </c>
      <c r="L48" s="7">
        <v>-1755229.274577315</v>
      </c>
      <c r="O48" s="7">
        <v>2472676.5131337298</v>
      </c>
      <c r="P48">
        <v>3154902.3429340795</v>
      </c>
      <c r="Q48" s="7">
        <v>-682225.82980034966</v>
      </c>
    </row>
    <row r="49" spans="1:18" x14ac:dyDescent="0.35">
      <c r="A49" s="38">
        <v>2023</v>
      </c>
      <c r="B49" s="38"/>
      <c r="C49" s="7">
        <v>2512145.8516192702</v>
      </c>
      <c r="D49" s="36">
        <v>1.5962192497035999E-2</v>
      </c>
      <c r="J49" s="7"/>
      <c r="L49" s="7"/>
      <c r="O49" s="7"/>
      <c r="Q49" s="7"/>
    </row>
    <row r="50" spans="1:18" x14ac:dyDescent="0.35">
      <c r="A50" s="38">
        <v>2024</v>
      </c>
      <c r="B50" s="38"/>
      <c r="C50" s="7">
        <v>2551615.1901047998</v>
      </c>
      <c r="D50" s="36">
        <v>1.5711404041325323E-2</v>
      </c>
      <c r="Q50" s="31">
        <v>-3389168.5920763621</v>
      </c>
    </row>
    <row r="51" spans="1:18" x14ac:dyDescent="0.35">
      <c r="A51" s="38">
        <v>2025</v>
      </c>
      <c r="B51" s="38"/>
      <c r="C51" s="7">
        <v>2591084.5285903402</v>
      </c>
      <c r="D51" s="36">
        <v>1.5468374164961479E-2</v>
      </c>
      <c r="Q51" s="33">
        <v>-161388.98057506487</v>
      </c>
      <c r="R51">
        <v>161388.98057506487</v>
      </c>
    </row>
    <row r="52" spans="1:18" x14ac:dyDescent="0.35">
      <c r="A52" s="38">
        <v>2026</v>
      </c>
      <c r="B52" s="38"/>
      <c r="C52" s="7">
        <v>2630553.8670758801</v>
      </c>
      <c r="D52" s="36">
        <v>1.5232748314472352E-2</v>
      </c>
      <c r="Q52">
        <v>401.73247388662128</v>
      </c>
    </row>
    <row r="53" spans="1:18" x14ac:dyDescent="0.35">
      <c r="A53" s="38">
        <v>2027</v>
      </c>
      <c r="B53" s="38"/>
      <c r="C53" s="7">
        <v>2670023.2055614102</v>
      </c>
      <c r="D53" s="36">
        <v>1.5004193215554325E-2</v>
      </c>
      <c r="G53" t="s">
        <v>310</v>
      </c>
    </row>
    <row r="54" spans="1:18" x14ac:dyDescent="0.35">
      <c r="A54" s="37"/>
      <c r="B54" s="37"/>
      <c r="C54" s="7"/>
      <c r="D54" s="36">
        <v>4.5270863535549086E-2</v>
      </c>
      <c r="G54" s="9" t="s">
        <v>217</v>
      </c>
      <c r="H54">
        <v>-4.0333500000000004</v>
      </c>
    </row>
    <row r="55" spans="1:18" x14ac:dyDescent="0.35">
      <c r="A55" s="37"/>
      <c r="B55" s="37"/>
      <c r="C55" s="7"/>
      <c r="G55" t="s">
        <v>137</v>
      </c>
      <c r="H55">
        <v>1075.499</v>
      </c>
    </row>
    <row r="56" spans="1:18" x14ac:dyDescent="0.35">
      <c r="A56" s="37"/>
      <c r="B56" s="37"/>
      <c r="C56" s="7"/>
      <c r="G56" t="s">
        <v>138</v>
      </c>
      <c r="H56">
        <v>-225.42320000000001</v>
      </c>
    </row>
    <row r="57" spans="1:18" x14ac:dyDescent="0.35">
      <c r="A57" s="37"/>
      <c r="B57" s="37"/>
      <c r="C57" s="7"/>
      <c r="G57" t="s">
        <v>218</v>
      </c>
      <c r="H57">
        <v>-0.34702100000000002</v>
      </c>
    </row>
    <row r="58" spans="1:18" x14ac:dyDescent="0.35">
      <c r="A58" s="37"/>
      <c r="B58" s="37"/>
      <c r="C58" s="7"/>
    </row>
    <row r="59" spans="1:18" ht="15.5" x14ac:dyDescent="0.35">
      <c r="G59" s="19" t="s">
        <v>333</v>
      </c>
      <c r="H59">
        <v>-300794.5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D728-D40A-44E0-A2F3-3A67BC9D5304}">
  <dimension ref="A1:C52"/>
  <sheetViews>
    <sheetView topLeftCell="A40" workbookViewId="0">
      <selection activeCell="A49" sqref="A49:D49"/>
    </sheetView>
  </sheetViews>
  <sheetFormatPr defaultRowHeight="14.5" x14ac:dyDescent="0.35"/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 s="7">
        <f>'Persamaan NI 1'!C3</f>
        <v>758726</v>
      </c>
      <c r="C2">
        <f>'Persamaan NI 1'!P3</f>
        <v>845542.4278759961</v>
      </c>
    </row>
    <row r="3" spans="1:3" x14ac:dyDescent="0.35">
      <c r="A3">
        <v>2000</v>
      </c>
      <c r="B3" s="7">
        <f>'Persamaan NI 1'!C4</f>
        <v>764503</v>
      </c>
      <c r="C3">
        <f>'Persamaan NI 1'!P4</f>
        <v>557727.34321709198</v>
      </c>
    </row>
    <row r="4" spans="1:3" x14ac:dyDescent="0.35">
      <c r="A4">
        <v>2001</v>
      </c>
      <c r="B4" s="7">
        <f>'Persamaan NI 1'!C5</f>
        <v>770280</v>
      </c>
      <c r="C4">
        <f>'Persamaan NI 1'!P5</f>
        <v>905192.35184346803</v>
      </c>
    </row>
    <row r="5" spans="1:3" x14ac:dyDescent="0.35">
      <c r="A5">
        <v>2001</v>
      </c>
      <c r="B5" s="7">
        <f>'Persamaan NI 1'!C6</f>
        <v>778140</v>
      </c>
      <c r="C5">
        <f>'Persamaan NI 1'!P6</f>
        <v>942071.07103519258</v>
      </c>
    </row>
    <row r="6" spans="1:3" x14ac:dyDescent="0.35">
      <c r="A6">
        <v>2002</v>
      </c>
      <c r="B6" s="7">
        <f>'Persamaan NI 1'!C7</f>
        <v>786000</v>
      </c>
      <c r="C6">
        <f>'Persamaan NI 1'!P7</f>
        <v>969792.75472141721</v>
      </c>
    </row>
    <row r="7" spans="1:3" x14ac:dyDescent="0.35">
      <c r="A7">
        <v>2002</v>
      </c>
      <c r="B7" s="7">
        <f>'Persamaan NI 1'!C8</f>
        <v>795252</v>
      </c>
      <c r="C7">
        <f>'Persamaan NI 1'!P8</f>
        <v>992161.73986123223</v>
      </c>
    </row>
    <row r="8" spans="1:3" x14ac:dyDescent="0.35">
      <c r="A8">
        <v>2003</v>
      </c>
      <c r="B8" s="7">
        <f>'Persamaan NI 1'!C9</f>
        <v>804504</v>
      </c>
      <c r="C8">
        <f>'Persamaan NI 1'!P9</f>
        <v>1016553.5371464072</v>
      </c>
    </row>
    <row r="9" spans="1:3" x14ac:dyDescent="0.35">
      <c r="A9">
        <v>2003</v>
      </c>
      <c r="B9" s="7">
        <f>'Persamaan NI 1'!C10</f>
        <v>844287</v>
      </c>
      <c r="C9">
        <f>'Persamaan NI 1'!P10</f>
        <v>1032026.4481810115</v>
      </c>
    </row>
    <row r="10" spans="1:3" x14ac:dyDescent="0.35">
      <c r="A10">
        <v>2004</v>
      </c>
      <c r="B10" s="7">
        <f>'Persamaan NI 1'!C11</f>
        <v>884070</v>
      </c>
      <c r="C10">
        <f>'Persamaan NI 1'!P11</f>
        <v>1046725.3795173659</v>
      </c>
    </row>
    <row r="11" spans="1:3" x14ac:dyDescent="0.35">
      <c r="A11">
        <v>2004</v>
      </c>
      <c r="B11" s="7">
        <f>'Persamaan NI 1'!C12</f>
        <v>890801.5</v>
      </c>
      <c r="C11">
        <f>'Persamaan NI 1'!P12</f>
        <v>1075061.3305916106</v>
      </c>
    </row>
    <row r="12" spans="1:3" x14ac:dyDescent="0.35">
      <c r="A12">
        <v>2005</v>
      </c>
      <c r="B12" s="7">
        <f>'Persamaan NI 1'!C13</f>
        <v>897533</v>
      </c>
      <c r="C12">
        <f>'Persamaan NI 1'!P13</f>
        <v>1083785.8082037102</v>
      </c>
    </row>
    <row r="13" spans="1:3" x14ac:dyDescent="0.35">
      <c r="A13">
        <v>2005</v>
      </c>
      <c r="B13" s="7">
        <f>'Persamaan NI 1'!C14</f>
        <v>911412.5</v>
      </c>
      <c r="C13">
        <f>'Persamaan NI 1'!P14</f>
        <v>1110606.314076589</v>
      </c>
    </row>
    <row r="14" spans="1:3" x14ac:dyDescent="0.35">
      <c r="A14">
        <v>2006</v>
      </c>
      <c r="B14" s="7">
        <f>'Persamaan NI 1'!C15</f>
        <v>925292</v>
      </c>
      <c r="C14">
        <f>'Persamaan NI 1'!P15</f>
        <v>1115631.2560021931</v>
      </c>
    </row>
    <row r="15" spans="1:3" x14ac:dyDescent="0.35">
      <c r="A15">
        <v>2006</v>
      </c>
      <c r="B15" s="7">
        <f>'Persamaan NI 1'!C16</f>
        <v>940586</v>
      </c>
      <c r="C15">
        <f>'Persamaan NI 1'!P16</f>
        <v>1096643.627200264</v>
      </c>
    </row>
    <row r="16" spans="1:3" x14ac:dyDescent="0.35">
      <c r="A16">
        <v>2007</v>
      </c>
      <c r="B16" s="7">
        <f>'Persamaan NI 1'!C17</f>
        <v>955880</v>
      </c>
      <c r="C16">
        <f>'Persamaan NI 1'!P17</f>
        <v>1072207.4148536201</v>
      </c>
    </row>
    <row r="17" spans="1:3" x14ac:dyDescent="0.35">
      <c r="A17">
        <v>2007</v>
      </c>
      <c r="B17" s="7">
        <f>'Persamaan NI 1'!C18</f>
        <v>968638.5</v>
      </c>
      <c r="C17">
        <f>'Persamaan NI 1'!P18</f>
        <v>1099187.9964344185</v>
      </c>
    </row>
    <row r="18" spans="1:3" x14ac:dyDescent="0.35">
      <c r="A18">
        <v>2008</v>
      </c>
      <c r="B18" s="7">
        <f>'Persamaan NI 1'!C19</f>
        <v>981397</v>
      </c>
      <c r="C18">
        <f>'Persamaan NI 1'!P19</f>
        <v>1166845.8408390521</v>
      </c>
    </row>
    <row r="19" spans="1:3" x14ac:dyDescent="0.35">
      <c r="A19">
        <v>2008</v>
      </c>
      <c r="B19" s="7">
        <f>'Persamaan NI 1'!C20</f>
        <v>1006138</v>
      </c>
      <c r="C19">
        <f>'Persamaan NI 1'!P20</f>
        <v>1286784.3298835731</v>
      </c>
    </row>
    <row r="20" spans="1:3" x14ac:dyDescent="0.35">
      <c r="A20">
        <v>2009</v>
      </c>
      <c r="B20" s="7">
        <f>'Persamaan NI 1'!C21</f>
        <v>1030879</v>
      </c>
      <c r="C20">
        <f>'Persamaan NI 1'!P21</f>
        <v>1297798.6673501544</v>
      </c>
    </row>
    <row r="21" spans="1:3" x14ac:dyDescent="0.35">
      <c r="A21">
        <v>2009</v>
      </c>
      <c r="B21" s="7">
        <f>'Persamaan NI 1'!C22</f>
        <v>1046820.5</v>
      </c>
      <c r="C21">
        <f>'Persamaan NI 1'!P22</f>
        <v>1272388.0968412261</v>
      </c>
    </row>
    <row r="22" spans="1:3" x14ac:dyDescent="0.35">
      <c r="A22">
        <v>2010</v>
      </c>
      <c r="B22" s="7">
        <f>'Persamaan NI 1'!C23</f>
        <v>1062762</v>
      </c>
      <c r="C22">
        <f>'Persamaan NI 1'!P23</f>
        <v>1208336.856400768</v>
      </c>
    </row>
    <row r="23" spans="1:3" x14ac:dyDescent="0.35">
      <c r="A23">
        <v>2010</v>
      </c>
      <c r="B23" s="7">
        <f>'Persamaan NI 1'!C24</f>
        <v>1069761</v>
      </c>
      <c r="C23">
        <f>'Persamaan NI 1'!P24</f>
        <v>1261637.4892308987</v>
      </c>
    </row>
    <row r="24" spans="1:3" x14ac:dyDescent="0.35">
      <c r="A24">
        <v>2011</v>
      </c>
      <c r="B24" s="7">
        <f>'Persamaan NI 1'!C25</f>
        <v>1076760</v>
      </c>
      <c r="C24">
        <f>'Persamaan NI 1'!P25</f>
        <v>1279588.657680263</v>
      </c>
    </row>
    <row r="25" spans="1:3" x14ac:dyDescent="0.35">
      <c r="A25">
        <v>2011</v>
      </c>
      <c r="B25" s="7">
        <f>'Persamaan NI 1'!C26</f>
        <v>2201241</v>
      </c>
      <c r="C25">
        <f>'Persamaan NI 1'!P26</f>
        <v>2071361.5116393808</v>
      </c>
    </row>
    <row r="26" spans="1:3" x14ac:dyDescent="0.35">
      <c r="A26">
        <v>2012</v>
      </c>
      <c r="B26" s="7">
        <f>'Persamaan NI 1'!C27</f>
        <v>3325722</v>
      </c>
      <c r="C26">
        <f>'Persamaan NI 1'!P27</f>
        <v>2863134.3655985021</v>
      </c>
    </row>
    <row r="27" spans="1:3" x14ac:dyDescent="0.35">
      <c r="A27">
        <v>2012</v>
      </c>
      <c r="B27" s="7">
        <f>'Persamaan NI 1'!C28</f>
        <v>3305074.5</v>
      </c>
      <c r="C27">
        <f>'Persamaan NI 1'!P28</f>
        <v>3131315.1078754319</v>
      </c>
    </row>
    <row r="28" spans="1:3" x14ac:dyDescent="0.35">
      <c r="A28">
        <v>2013</v>
      </c>
      <c r="B28" s="7">
        <f>'Persamaan NI 1'!C29</f>
        <v>3284427</v>
      </c>
      <c r="C28">
        <f>'Persamaan NI 1'!P29</f>
        <v>3399495.8501523659</v>
      </c>
    </row>
    <row r="29" spans="1:3" x14ac:dyDescent="0.35">
      <c r="A29">
        <v>2013</v>
      </c>
      <c r="B29" s="7">
        <f>'Persamaan NI 1'!C30</f>
        <v>2743681</v>
      </c>
      <c r="C29">
        <f>'Persamaan NI 1'!P30</f>
        <v>3131111.6465916787</v>
      </c>
    </row>
    <row r="30" spans="1:3" x14ac:dyDescent="0.35">
      <c r="A30">
        <v>2014</v>
      </c>
      <c r="B30" s="7">
        <f>'Persamaan NI 1'!C31</f>
        <v>2202935</v>
      </c>
      <c r="C30">
        <f>'Persamaan NI 1'!P31</f>
        <v>2862727.4430309962</v>
      </c>
    </row>
    <row r="31" spans="1:3" x14ac:dyDescent="0.35">
      <c r="A31">
        <v>2014</v>
      </c>
      <c r="B31" s="7">
        <f>'Persamaan NI 1'!C32</f>
        <v>2030705</v>
      </c>
      <c r="C31">
        <f>'Persamaan NI 1'!P32</f>
        <v>2753547.9854958854</v>
      </c>
    </row>
    <row r="32" spans="1:3" x14ac:dyDescent="0.35">
      <c r="A32">
        <v>2015</v>
      </c>
      <c r="B32" s="7">
        <f>'Persamaan NI 1'!C33</f>
        <v>1858475</v>
      </c>
      <c r="C32">
        <f>'Persamaan NI 1'!P33</f>
        <v>2644368.5279607745</v>
      </c>
    </row>
    <row r="33" spans="1:3" x14ac:dyDescent="0.35">
      <c r="A33">
        <v>2015</v>
      </c>
      <c r="B33" s="7">
        <f>'Persamaan NI 1'!C34</f>
        <v>2351914</v>
      </c>
      <c r="C33">
        <f>'Persamaan NI 1'!P34</f>
        <v>2508783.9502254641</v>
      </c>
    </row>
    <row r="34" spans="1:3" x14ac:dyDescent="0.35">
      <c r="A34">
        <v>2016</v>
      </c>
      <c r="B34" s="7">
        <f>'Persamaan NI 1'!C35</f>
        <v>2845353</v>
      </c>
      <c r="C34">
        <f>'Persamaan NI 1'!P35</f>
        <v>2373199.3724901509</v>
      </c>
    </row>
    <row r="35" spans="1:3" x14ac:dyDescent="0.35">
      <c r="A35">
        <v>2016</v>
      </c>
      <c r="B35" s="7">
        <f>'Persamaan NI 1'!C36</f>
        <v>3085537.5</v>
      </c>
      <c r="C35">
        <f>'Persamaan NI 1'!P36</f>
        <v>2374531.7030288312</v>
      </c>
    </row>
    <row r="36" spans="1:3" x14ac:dyDescent="0.35">
      <c r="A36">
        <v>2017</v>
      </c>
      <c r="B36" s="7">
        <f>'Persamaan NI 1'!C37</f>
        <v>3325722</v>
      </c>
      <c r="C36">
        <f>'Persamaan NI 1'!P37</f>
        <v>2375864.0335675087</v>
      </c>
    </row>
    <row r="37" spans="1:3" x14ac:dyDescent="0.35">
      <c r="A37">
        <v>2017</v>
      </c>
      <c r="B37" s="7">
        <f>'Persamaan NI 1'!C38</f>
        <v>2365280.5</v>
      </c>
      <c r="C37">
        <f>'Persamaan NI 1'!P38</f>
        <v>2056380.1735553229</v>
      </c>
    </row>
    <row r="38" spans="1:3" x14ac:dyDescent="0.35">
      <c r="A38">
        <v>2018</v>
      </c>
      <c r="B38" s="7">
        <f>'Persamaan NI 1'!C39</f>
        <v>1404839</v>
      </c>
      <c r="C38">
        <f>'Persamaan NI 1'!P39</f>
        <v>1736896.3135431341</v>
      </c>
    </row>
    <row r="39" spans="1:3" x14ac:dyDescent="0.35">
      <c r="A39">
        <v>2018</v>
      </c>
      <c r="B39" s="7">
        <f>'Persamaan NI 1'!C40</f>
        <v>1253724.5</v>
      </c>
      <c r="C39">
        <f>'Persamaan NI 1'!P40</f>
        <v>2378291.7908510296</v>
      </c>
    </row>
    <row r="40" spans="1:3" x14ac:dyDescent="0.35">
      <c r="A40">
        <v>2019</v>
      </c>
      <c r="B40" s="7">
        <f>'Persamaan NI 1'!C41</f>
        <v>1102610</v>
      </c>
      <c r="C40">
        <f>'Persamaan NI 1'!P41</f>
        <v>3019687.2681589206</v>
      </c>
    </row>
    <row r="41" spans="1:3" x14ac:dyDescent="0.35">
      <c r="A41">
        <v>2019</v>
      </c>
      <c r="B41" s="7">
        <f>'Persamaan NI 1'!C42</f>
        <v>1167714.5</v>
      </c>
      <c r="C41">
        <f>'Persamaan NI 1'!P42</f>
        <v>2867343.8867466627</v>
      </c>
    </row>
    <row r="42" spans="1:3" x14ac:dyDescent="0.35">
      <c r="A42">
        <v>2020</v>
      </c>
      <c r="B42" s="7">
        <f>'Persamaan NI 1'!C43</f>
        <v>1232819</v>
      </c>
      <c r="C42">
        <f>'Persamaan NI 1'!P43</f>
        <v>2715000.5053344006</v>
      </c>
    </row>
    <row r="43" spans="1:3" x14ac:dyDescent="0.35">
      <c r="A43">
        <v>2020</v>
      </c>
      <c r="B43" s="7">
        <f>'Persamaan NI 1'!C44</f>
        <v>1200266.75</v>
      </c>
      <c r="C43">
        <f>'Persamaan NI 1'!P44</f>
        <v>2806860.7244329881</v>
      </c>
    </row>
    <row r="44" spans="1:3" x14ac:dyDescent="0.35">
      <c r="A44">
        <v>2021</v>
      </c>
      <c r="B44" s="7">
        <f>'Persamaan NI 1'!C45</f>
        <v>2354268.4976771199</v>
      </c>
      <c r="C44">
        <f>'Persamaan NI 1'!P45</f>
        <v>2882116.6995033482</v>
      </c>
    </row>
    <row r="45" spans="1:3" x14ac:dyDescent="0.35">
      <c r="A45">
        <v>2021</v>
      </c>
      <c r="B45" s="7">
        <f>'Persamaan NI 1'!C46</f>
        <v>2393737.8361626598</v>
      </c>
      <c r="C45">
        <f>'Persamaan NI 1'!P46</f>
        <v>2996438.9837213466</v>
      </c>
    </row>
    <row r="46" spans="1:3" x14ac:dyDescent="0.35">
      <c r="A46">
        <v>2022</v>
      </c>
      <c r="B46" s="7">
        <f>'Persamaan NI 1'!C47</f>
        <v>2433207.1746482002</v>
      </c>
      <c r="C46">
        <f>'Persamaan NI 1'!P47</f>
        <v>3098920.2921259208</v>
      </c>
    </row>
    <row r="47" spans="1:3" x14ac:dyDescent="0.35">
      <c r="A47">
        <v>2022</v>
      </c>
      <c r="B47" s="7">
        <f>'Persamaan NI 1'!C48</f>
        <v>2472676.5131337298</v>
      </c>
      <c r="C47">
        <f>'Persamaan NI 1'!P48</f>
        <v>3154902.3429340795</v>
      </c>
    </row>
    <row r="48" spans="1:3" x14ac:dyDescent="0.35">
      <c r="A48">
        <v>2023</v>
      </c>
      <c r="B48" s="7">
        <f>'Persamaan NI 1'!C49</f>
        <v>2512145.8516192702</v>
      </c>
    </row>
    <row r="49" spans="1:2" x14ac:dyDescent="0.35">
      <c r="A49">
        <v>2024</v>
      </c>
      <c r="B49" s="7">
        <f>'Persamaan NI 1'!C50</f>
        <v>2551615.1901047998</v>
      </c>
    </row>
    <row r="50" spans="1:2" x14ac:dyDescent="0.35">
      <c r="A50">
        <v>2025</v>
      </c>
      <c r="B50" s="7">
        <f>'Persamaan NI 1'!C51</f>
        <v>2591084.5285903402</v>
      </c>
    </row>
    <row r="51" spans="1:2" x14ac:dyDescent="0.35">
      <c r="A51">
        <v>2026</v>
      </c>
      <c r="B51" s="7">
        <f>'Persamaan NI 1'!C52</f>
        <v>2630553.8670758801</v>
      </c>
    </row>
    <row r="52" spans="1:2" x14ac:dyDescent="0.35">
      <c r="A52">
        <v>2027</v>
      </c>
      <c r="B52" s="7">
        <f>'Persamaan NI 1'!C53</f>
        <v>2670023.2055614102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62"/>
  <sheetViews>
    <sheetView topLeftCell="F49" workbookViewId="0">
      <selection activeCell="N12" sqref="N12"/>
    </sheetView>
  </sheetViews>
  <sheetFormatPr defaultRowHeight="14.5" x14ac:dyDescent="0.35"/>
  <cols>
    <col min="3" max="3" width="9.54296875" bestFit="1" customWidth="1"/>
    <col min="8" max="8" width="12.453125" customWidth="1"/>
    <col min="17" max="17" width="13" customWidth="1"/>
    <col min="18" max="18" width="10.26953125" customWidth="1"/>
    <col min="19" max="19" width="12" bestFit="1" customWidth="1"/>
  </cols>
  <sheetData>
    <row r="1" spans="1:18" x14ac:dyDescent="0.35">
      <c r="C1" t="s">
        <v>138</v>
      </c>
      <c r="E1" t="s">
        <v>96</v>
      </c>
      <c r="F1" s="108" t="s">
        <v>104</v>
      </c>
      <c r="G1" s="108"/>
      <c r="H1" s="9" t="s">
        <v>104</v>
      </c>
      <c r="I1" t="s">
        <v>137</v>
      </c>
      <c r="J1" t="s">
        <v>105</v>
      </c>
      <c r="K1" t="s">
        <v>141</v>
      </c>
      <c r="L1" t="s">
        <v>109</v>
      </c>
      <c r="M1" t="s">
        <v>142</v>
      </c>
    </row>
    <row r="2" spans="1:18" x14ac:dyDescent="0.35">
      <c r="F2" t="s">
        <v>140</v>
      </c>
      <c r="G2" t="s">
        <v>117</v>
      </c>
      <c r="P2" t="s">
        <v>334</v>
      </c>
      <c r="Q2" t="s">
        <v>335</v>
      </c>
    </row>
    <row r="3" spans="1:18" x14ac:dyDescent="0.35">
      <c r="A3">
        <v>2000</v>
      </c>
      <c r="B3">
        <v>1</v>
      </c>
      <c r="C3" s="29">
        <v>1171.665</v>
      </c>
      <c r="E3" s="11">
        <v>7081</v>
      </c>
      <c r="F3" s="7">
        <v>1500</v>
      </c>
      <c r="G3" s="7">
        <v>8719</v>
      </c>
      <c r="H3" s="7">
        <v>13078500</v>
      </c>
      <c r="I3">
        <v>922.22699999999998</v>
      </c>
      <c r="J3">
        <v>19702.956999999999</v>
      </c>
      <c r="K3" s="29">
        <v>5.8000000000000003E-2</v>
      </c>
      <c r="L3">
        <v>2000</v>
      </c>
      <c r="M3" s="7">
        <v>1147060</v>
      </c>
      <c r="P3">
        <v>1171.665</v>
      </c>
      <c r="Q3" s="30">
        <v>-442115125.14947683</v>
      </c>
      <c r="R3" s="30">
        <v>442116296.81447685</v>
      </c>
    </row>
    <row r="4" spans="1:18" x14ac:dyDescent="0.35">
      <c r="B4">
        <v>2</v>
      </c>
      <c r="C4" s="29">
        <v>1204.452</v>
      </c>
      <c r="D4" s="36">
        <v>2.7983254599224211E-2</v>
      </c>
      <c r="E4" s="11">
        <v>7132</v>
      </c>
      <c r="F4" s="7">
        <v>1600</v>
      </c>
      <c r="G4" s="7">
        <v>8719</v>
      </c>
      <c r="H4" s="7">
        <v>13950400</v>
      </c>
      <c r="I4">
        <v>942.44299999999998</v>
      </c>
      <c r="J4">
        <v>20124.135999999999</v>
      </c>
      <c r="K4" s="29">
        <v>5.6000000000000001E-2</v>
      </c>
      <c r="L4">
        <v>2000</v>
      </c>
      <c r="M4" s="7">
        <v>1159362.5</v>
      </c>
      <c r="P4">
        <v>1204.452</v>
      </c>
      <c r="Q4" s="30">
        <v>-8682532.0394501276</v>
      </c>
      <c r="R4" s="30">
        <v>8683736.4914501272</v>
      </c>
    </row>
    <row r="5" spans="1:18" x14ac:dyDescent="0.35">
      <c r="A5">
        <v>2001</v>
      </c>
      <c r="B5">
        <v>1</v>
      </c>
      <c r="C5" s="29">
        <v>1237.239</v>
      </c>
      <c r="D5" s="36">
        <v>2.7221508204561106E-2</v>
      </c>
      <c r="E5" s="11">
        <v>7183</v>
      </c>
      <c r="F5" s="7">
        <v>1700</v>
      </c>
      <c r="G5" s="7">
        <v>8719</v>
      </c>
      <c r="H5" s="7">
        <v>14822300</v>
      </c>
      <c r="I5">
        <v>962.65899999999999</v>
      </c>
      <c r="J5">
        <v>20545.314999999999</v>
      </c>
      <c r="K5" s="29">
        <v>5.3999999999999999E-2</v>
      </c>
      <c r="L5">
        <v>2001</v>
      </c>
      <c r="M5" s="7">
        <v>1171665</v>
      </c>
      <c r="P5">
        <v>1237.239</v>
      </c>
      <c r="Q5" s="30">
        <v>401288593.04836959</v>
      </c>
      <c r="R5" s="30">
        <v>-401287355.80936956</v>
      </c>
    </row>
    <row r="6" spans="1:18" x14ac:dyDescent="0.35">
      <c r="B6">
        <v>2</v>
      </c>
      <c r="C6" s="29">
        <v>1271.8609999999999</v>
      </c>
      <c r="D6" s="36">
        <v>2.7983275664604689E-2</v>
      </c>
      <c r="E6" s="11">
        <v>7184.5</v>
      </c>
      <c r="F6" s="7">
        <v>1750</v>
      </c>
      <c r="G6" s="7">
        <v>8719</v>
      </c>
      <c r="H6" s="7">
        <v>15258250</v>
      </c>
      <c r="I6">
        <v>968.505</v>
      </c>
      <c r="J6">
        <v>21283.0085</v>
      </c>
      <c r="K6" s="29">
        <v>5.3499999999999999E-2</v>
      </c>
      <c r="L6">
        <v>2001</v>
      </c>
      <c r="M6" s="7">
        <v>1204452</v>
      </c>
      <c r="P6">
        <v>1271.8609999999999</v>
      </c>
      <c r="Q6" s="30">
        <v>-342377828075.55609</v>
      </c>
      <c r="R6" s="30">
        <v>342377829347.41711</v>
      </c>
    </row>
    <row r="7" spans="1:18" x14ac:dyDescent="0.35">
      <c r="A7">
        <v>2002</v>
      </c>
      <c r="B7">
        <v>1</v>
      </c>
      <c r="C7" s="29">
        <v>1306.4829999999999</v>
      </c>
      <c r="D7" s="36">
        <v>2.722152813868817E-2</v>
      </c>
      <c r="E7" s="11">
        <v>7186</v>
      </c>
      <c r="F7" s="7">
        <v>1800</v>
      </c>
      <c r="G7" s="7">
        <v>8719</v>
      </c>
      <c r="H7" s="7">
        <v>15694200</v>
      </c>
      <c r="I7">
        <v>974.351</v>
      </c>
      <c r="J7">
        <v>22020.702000000001</v>
      </c>
      <c r="K7" s="29">
        <v>5.2999999999999999E-2</v>
      </c>
      <c r="L7">
        <v>2002</v>
      </c>
      <c r="M7" s="7">
        <v>1237239</v>
      </c>
      <c r="P7">
        <v>1306.4829999999999</v>
      </c>
      <c r="Q7" s="30">
        <v>3021966024.4526687</v>
      </c>
      <c r="R7" s="30">
        <v>-3021964717.9696689</v>
      </c>
    </row>
    <row r="8" spans="1:18" x14ac:dyDescent="0.35">
      <c r="B8">
        <v>2</v>
      </c>
      <c r="C8" s="29">
        <v>1343.0425</v>
      </c>
      <c r="D8" s="36">
        <v>2.7983142528452395E-2</v>
      </c>
      <c r="E8" s="11">
        <v>7238.5</v>
      </c>
      <c r="F8" s="7">
        <v>1900</v>
      </c>
      <c r="G8" s="7">
        <v>8719</v>
      </c>
      <c r="H8" s="7">
        <v>16566100</v>
      </c>
      <c r="I8">
        <v>977.78500000000008</v>
      </c>
      <c r="J8">
        <v>22786.127499999999</v>
      </c>
      <c r="K8" s="29">
        <v>5.3999999999999999E-2</v>
      </c>
      <c r="L8">
        <v>2002</v>
      </c>
      <c r="M8" s="7">
        <v>1271861</v>
      </c>
      <c r="P8">
        <v>1343.0425</v>
      </c>
      <c r="Q8" s="30">
        <v>6139.9201011999994</v>
      </c>
      <c r="R8" s="30">
        <v>-4796.8776011999998</v>
      </c>
    </row>
    <row r="9" spans="1:18" x14ac:dyDescent="0.35">
      <c r="A9">
        <v>2003</v>
      </c>
      <c r="B9">
        <v>1</v>
      </c>
      <c r="C9" s="29">
        <v>1379.6020000000001</v>
      </c>
      <c r="D9" s="36">
        <v>2.7221402152202978E-2</v>
      </c>
      <c r="E9" s="11">
        <v>7291</v>
      </c>
      <c r="F9" s="7">
        <v>2000</v>
      </c>
      <c r="G9" s="7">
        <v>8719</v>
      </c>
      <c r="H9" s="7">
        <v>17438000</v>
      </c>
      <c r="I9">
        <v>981.21900000000005</v>
      </c>
      <c r="J9">
        <v>23551.553</v>
      </c>
      <c r="K9" s="29">
        <v>5.5E-2</v>
      </c>
      <c r="L9">
        <v>2003</v>
      </c>
      <c r="M9" s="7">
        <v>1306483</v>
      </c>
      <c r="P9">
        <v>1379.6020000000001</v>
      </c>
      <c r="Q9" s="30">
        <v>207367697.463622</v>
      </c>
      <c r="R9" s="30">
        <v>-207366317.86162201</v>
      </c>
    </row>
    <row r="10" spans="1:18" x14ac:dyDescent="0.35">
      <c r="B10">
        <v>2</v>
      </c>
      <c r="C10" s="29">
        <v>1418.2075</v>
      </c>
      <c r="D10" s="36">
        <v>2.7983070479746977E-2</v>
      </c>
      <c r="E10" s="11">
        <v>7294</v>
      </c>
      <c r="F10" s="7">
        <v>2150</v>
      </c>
      <c r="G10" s="7">
        <v>8719</v>
      </c>
      <c r="H10" s="7">
        <v>18745850</v>
      </c>
      <c r="I10">
        <v>986.17499999999995</v>
      </c>
      <c r="J10">
        <v>24250.116000000002</v>
      </c>
      <c r="K10" s="29">
        <v>5.3999999999999999E-2</v>
      </c>
      <c r="L10">
        <v>2003</v>
      </c>
      <c r="M10" s="7">
        <v>1343042.5</v>
      </c>
      <c r="P10">
        <v>1418.2075</v>
      </c>
      <c r="Q10" s="30">
        <v>3961747935873.3979</v>
      </c>
      <c r="R10" s="30">
        <v>-3961747934455.1904</v>
      </c>
    </row>
    <row r="11" spans="1:18" x14ac:dyDescent="0.35">
      <c r="A11">
        <v>2004</v>
      </c>
      <c r="B11">
        <v>1</v>
      </c>
      <c r="C11" s="29">
        <v>1456.8130000000001</v>
      </c>
      <c r="D11" s="36">
        <v>2.7221333972638082E-2</v>
      </c>
      <c r="E11" s="11">
        <v>7297</v>
      </c>
      <c r="F11" s="7">
        <v>2300</v>
      </c>
      <c r="G11" s="7">
        <v>8719</v>
      </c>
      <c r="H11" s="7">
        <v>20053700</v>
      </c>
      <c r="I11">
        <v>991.13099999999997</v>
      </c>
      <c r="J11">
        <v>24948.679</v>
      </c>
      <c r="K11" s="29">
        <v>5.2999999999999999E-2</v>
      </c>
      <c r="L11">
        <v>2004</v>
      </c>
      <c r="M11" s="7">
        <v>1379602</v>
      </c>
      <c r="P11">
        <v>1456.8130000000001</v>
      </c>
      <c r="Q11" s="30">
        <v>-3127.2072329000002</v>
      </c>
      <c r="R11" s="30">
        <v>4584.0202329000003</v>
      </c>
    </row>
    <row r="12" spans="1:18" x14ac:dyDescent="0.35">
      <c r="B12">
        <v>2</v>
      </c>
      <c r="C12" s="29">
        <v>1497.5790000000002</v>
      </c>
      <c r="D12" s="36">
        <v>2.7983001249988895E-2</v>
      </c>
      <c r="E12" s="11">
        <v>7301.5</v>
      </c>
      <c r="F12" s="7">
        <v>2400</v>
      </c>
      <c r="G12" s="7">
        <v>8719</v>
      </c>
      <c r="H12" s="7">
        <v>20925600</v>
      </c>
      <c r="I12">
        <v>995.12750000000005</v>
      </c>
      <c r="J12">
        <v>25716.738000000001</v>
      </c>
      <c r="K12" s="29">
        <v>5.5E-2</v>
      </c>
      <c r="L12">
        <v>2004</v>
      </c>
      <c r="M12" s="7">
        <v>1418207.5</v>
      </c>
      <c r="P12">
        <v>1497.5790000000002</v>
      </c>
      <c r="Q12" s="30">
        <v>-3128.4221919500005</v>
      </c>
      <c r="R12" s="30">
        <v>4626.0011919500012</v>
      </c>
    </row>
    <row r="13" spans="1:18" x14ac:dyDescent="0.35">
      <c r="A13">
        <v>2005</v>
      </c>
      <c r="B13">
        <v>1</v>
      </c>
      <c r="C13" s="29">
        <v>1538.345</v>
      </c>
      <c r="D13" s="36">
        <v>2.7221268460628684E-2</v>
      </c>
      <c r="E13" s="11">
        <v>7306</v>
      </c>
      <c r="F13" s="7">
        <v>2500</v>
      </c>
      <c r="G13" s="7">
        <v>8719</v>
      </c>
      <c r="H13" s="7">
        <v>21797500</v>
      </c>
      <c r="I13">
        <v>999.12400000000002</v>
      </c>
      <c r="J13">
        <v>26484.796999999999</v>
      </c>
      <c r="K13" s="29">
        <v>5.7000000000000002E-2</v>
      </c>
      <c r="L13">
        <v>2005</v>
      </c>
      <c r="M13" s="7">
        <v>1456813</v>
      </c>
      <c r="P13">
        <v>1538.345</v>
      </c>
      <c r="Q13" s="30">
        <v>-3129.6371510000004</v>
      </c>
      <c r="R13" s="30">
        <v>4667.9821510000002</v>
      </c>
    </row>
    <row r="14" spans="1:18" x14ac:dyDescent="0.35">
      <c r="B14">
        <v>2</v>
      </c>
      <c r="C14" s="29">
        <v>1581.3924999999999</v>
      </c>
      <c r="D14" s="36">
        <v>2.7982994711849358E-2</v>
      </c>
      <c r="E14" s="11">
        <v>7360.5</v>
      </c>
      <c r="F14" s="7">
        <v>2700</v>
      </c>
      <c r="G14" s="7">
        <v>8719</v>
      </c>
      <c r="H14" s="7">
        <v>23541300</v>
      </c>
      <c r="I14">
        <v>1001.634</v>
      </c>
      <c r="J14">
        <v>27285.239000000001</v>
      </c>
      <c r="K14" s="29">
        <v>5.6500000000000002E-2</v>
      </c>
      <c r="L14">
        <v>2005</v>
      </c>
      <c r="M14" s="7">
        <v>1497579</v>
      </c>
      <c r="P14">
        <v>1581.3924999999999</v>
      </c>
      <c r="Q14" s="30">
        <v>-3152.4179766000002</v>
      </c>
      <c r="R14" s="30">
        <v>4733.8104765999997</v>
      </c>
    </row>
    <row r="15" spans="1:18" x14ac:dyDescent="0.35">
      <c r="A15">
        <v>2006</v>
      </c>
      <c r="B15">
        <v>1</v>
      </c>
      <c r="C15" s="29">
        <v>1624.44</v>
      </c>
      <c r="D15" s="36">
        <v>2.7221262273597561E-2</v>
      </c>
      <c r="E15" s="11">
        <v>7415</v>
      </c>
      <c r="F15" s="7">
        <v>2900</v>
      </c>
      <c r="G15" s="7">
        <v>8719</v>
      </c>
      <c r="H15" s="7">
        <v>25285100</v>
      </c>
      <c r="I15">
        <v>1004.144</v>
      </c>
      <c r="J15">
        <v>28085.681</v>
      </c>
      <c r="K15" s="29">
        <v>5.6000000000000001E-2</v>
      </c>
      <c r="L15">
        <v>2006</v>
      </c>
      <c r="M15" s="7">
        <v>1538345</v>
      </c>
      <c r="P15">
        <v>1624.44</v>
      </c>
      <c r="Q15" s="30">
        <v>-3175.1988022000005</v>
      </c>
      <c r="R15" s="30">
        <v>4799.638802200001</v>
      </c>
    </row>
    <row r="16" spans="1:18" x14ac:dyDescent="0.35">
      <c r="B16">
        <v>2</v>
      </c>
      <c r="C16" s="29">
        <v>1669.8969999999999</v>
      </c>
      <c r="D16" s="36">
        <v>2.7983181896530422E-2</v>
      </c>
      <c r="E16" s="11">
        <v>7471</v>
      </c>
      <c r="F16" s="7">
        <v>2950</v>
      </c>
      <c r="G16" s="7">
        <v>8719</v>
      </c>
      <c r="H16" s="7">
        <v>25721050</v>
      </c>
      <c r="I16">
        <v>1007.6835</v>
      </c>
      <c r="J16">
        <v>28934.506000000001</v>
      </c>
      <c r="K16" s="29">
        <v>5.5E-2</v>
      </c>
      <c r="L16">
        <v>2006</v>
      </c>
      <c r="M16" s="7">
        <v>1581392.5</v>
      </c>
      <c r="P16">
        <v>1669.8969999999999</v>
      </c>
      <c r="Q16" s="30">
        <v>-3198.5847084500006</v>
      </c>
      <c r="R16" s="30">
        <v>4868.481708450001</v>
      </c>
    </row>
    <row r="17" spans="1:18" x14ac:dyDescent="0.35">
      <c r="A17">
        <v>2007</v>
      </c>
      <c r="B17">
        <v>1</v>
      </c>
      <c r="C17" s="29">
        <v>1715.354</v>
      </c>
      <c r="D17" s="36">
        <v>2.7221439406143078E-2</v>
      </c>
      <c r="E17" s="11">
        <v>7527</v>
      </c>
      <c r="F17" s="7">
        <v>3000</v>
      </c>
      <c r="G17" s="7">
        <v>8719</v>
      </c>
      <c r="H17" s="7">
        <v>26157000</v>
      </c>
      <c r="I17">
        <v>1011.223</v>
      </c>
      <c r="J17">
        <v>29783.330999999998</v>
      </c>
      <c r="K17" s="29">
        <v>5.3999999999999999E-2</v>
      </c>
      <c r="L17">
        <v>2007</v>
      </c>
      <c r="M17" s="7">
        <v>1624440</v>
      </c>
      <c r="P17">
        <v>1715.354</v>
      </c>
      <c r="Q17" s="30">
        <v>-3221.9706147000002</v>
      </c>
      <c r="R17" s="30">
        <v>4937.3246147</v>
      </c>
    </row>
    <row r="18" spans="1:18" x14ac:dyDescent="0.35">
      <c r="B18">
        <v>2</v>
      </c>
      <c r="C18" s="29">
        <v>1763.355</v>
      </c>
      <c r="D18" s="36">
        <v>2.7983145170034859E-2</v>
      </c>
      <c r="E18" s="11">
        <v>7533.5</v>
      </c>
      <c r="F18" s="7">
        <v>3250</v>
      </c>
      <c r="G18" s="7">
        <v>8719</v>
      </c>
      <c r="H18" s="7">
        <v>28336750</v>
      </c>
      <c r="I18">
        <v>1011.729</v>
      </c>
      <c r="J18">
        <v>30600.173500000001</v>
      </c>
      <c r="K18" s="29">
        <v>5.6499999999999995E-2</v>
      </c>
      <c r="L18">
        <v>2007</v>
      </c>
      <c r="M18" s="7">
        <v>1669897</v>
      </c>
      <c r="P18">
        <v>1763.355</v>
      </c>
      <c r="Q18" s="30">
        <v>-3223.9203484000004</v>
      </c>
      <c r="R18" s="30">
        <v>4987.2753484000004</v>
      </c>
    </row>
    <row r="19" spans="1:18" x14ac:dyDescent="0.35">
      <c r="A19">
        <v>2008</v>
      </c>
      <c r="B19">
        <v>1</v>
      </c>
      <c r="C19" s="29">
        <v>1811.356</v>
      </c>
      <c r="D19" s="36">
        <v>2.7221404651927704E-2</v>
      </c>
      <c r="E19" s="11">
        <v>7540</v>
      </c>
      <c r="F19" s="7">
        <v>3500</v>
      </c>
      <c r="G19" s="7">
        <v>8719</v>
      </c>
      <c r="H19" s="7">
        <v>30516500</v>
      </c>
      <c r="I19">
        <v>1012.235</v>
      </c>
      <c r="J19">
        <v>31417.016</v>
      </c>
      <c r="K19" s="29">
        <v>5.8999999999999997E-2</v>
      </c>
      <c r="L19">
        <v>2008</v>
      </c>
      <c r="M19" s="7">
        <v>1715354</v>
      </c>
      <c r="P19">
        <v>1811.356</v>
      </c>
      <c r="Q19" s="30">
        <v>-3225.8700821000002</v>
      </c>
      <c r="R19" s="30">
        <v>5037.2260821</v>
      </c>
    </row>
    <row r="20" spans="1:18" x14ac:dyDescent="0.35">
      <c r="B20">
        <v>2</v>
      </c>
      <c r="C20" s="29">
        <v>1862.0435</v>
      </c>
      <c r="D20" s="36">
        <v>2.7983179452299823E-2</v>
      </c>
      <c r="E20" s="11">
        <v>7597.5</v>
      </c>
      <c r="F20" s="7">
        <v>3650</v>
      </c>
      <c r="G20" s="7">
        <v>8719</v>
      </c>
      <c r="H20" s="7">
        <v>31824350</v>
      </c>
      <c r="I20">
        <v>1013.2495</v>
      </c>
      <c r="J20">
        <v>32296.161499999998</v>
      </c>
      <c r="K20" s="29">
        <v>5.7999999999999996E-2</v>
      </c>
      <c r="L20">
        <v>2008</v>
      </c>
      <c r="M20" s="7">
        <v>1763355</v>
      </c>
      <c r="P20">
        <v>1862.0435</v>
      </c>
      <c r="Q20" s="30">
        <v>-3249.8105682</v>
      </c>
      <c r="R20" s="30">
        <v>5111.8540682000003</v>
      </c>
    </row>
    <row r="21" spans="1:18" x14ac:dyDescent="0.35">
      <c r="A21">
        <v>2009</v>
      </c>
      <c r="B21">
        <v>1</v>
      </c>
      <c r="C21" s="29">
        <v>1912.731</v>
      </c>
      <c r="D21" s="36">
        <v>2.72214370931721E-2</v>
      </c>
      <c r="E21" s="11">
        <v>7655</v>
      </c>
      <c r="F21" s="7">
        <v>3800</v>
      </c>
      <c r="G21" s="7">
        <v>8719</v>
      </c>
      <c r="H21" s="7">
        <v>33132200</v>
      </c>
      <c r="I21">
        <v>1014.264</v>
      </c>
      <c r="J21">
        <v>33175.307000000001</v>
      </c>
      <c r="K21" s="29">
        <v>5.7000000000000002E-2</v>
      </c>
      <c r="L21">
        <v>2009</v>
      </c>
      <c r="M21" s="7">
        <v>1811356</v>
      </c>
      <c r="P21">
        <v>1912.731</v>
      </c>
      <c r="Q21" s="30">
        <v>-3273.7510543000003</v>
      </c>
      <c r="R21" s="30">
        <v>5186.4820543000005</v>
      </c>
    </row>
    <row r="22" spans="1:18" x14ac:dyDescent="0.35">
      <c r="B22">
        <v>2</v>
      </c>
      <c r="C22" s="29">
        <v>1966.2550000000001</v>
      </c>
      <c r="D22" s="36">
        <v>2.7983025318249203E-2</v>
      </c>
      <c r="E22" s="11">
        <v>7913</v>
      </c>
      <c r="F22" s="7">
        <v>3900</v>
      </c>
      <c r="G22" s="7">
        <v>8719</v>
      </c>
      <c r="H22" s="7">
        <v>34004100</v>
      </c>
      <c r="I22">
        <v>1017.8389999999999</v>
      </c>
      <c r="J22">
        <v>33776.932000000001</v>
      </c>
      <c r="K22" s="29">
        <v>5.3999999999999999E-2</v>
      </c>
      <c r="L22">
        <v>2009</v>
      </c>
      <c r="M22" s="7">
        <v>1862043.5</v>
      </c>
      <c r="P22">
        <v>1966.2550000000001</v>
      </c>
      <c r="Q22" s="30">
        <v>-3384.2836325500002</v>
      </c>
      <c r="R22" s="30">
        <v>5350.5386325500003</v>
      </c>
    </row>
    <row r="23" spans="1:18" x14ac:dyDescent="0.35">
      <c r="A23">
        <v>2010</v>
      </c>
      <c r="B23">
        <v>1</v>
      </c>
      <c r="C23" s="29">
        <v>2019.779</v>
      </c>
      <c r="D23" s="36">
        <v>2.7221291236385864E-2</v>
      </c>
      <c r="E23" s="11">
        <v>8171</v>
      </c>
      <c r="F23" s="7">
        <v>4000</v>
      </c>
      <c r="G23" s="7">
        <v>8719</v>
      </c>
      <c r="H23" s="7">
        <v>34876000</v>
      </c>
      <c r="I23">
        <v>1021.414</v>
      </c>
      <c r="J23">
        <v>34378.557000000001</v>
      </c>
      <c r="K23" s="29">
        <v>5.0999999999999997E-2</v>
      </c>
      <c r="L23">
        <v>2010</v>
      </c>
      <c r="M23" s="7">
        <v>1912731</v>
      </c>
      <c r="P23">
        <v>2019.779</v>
      </c>
      <c r="Q23" s="30">
        <v>-3494.8162108000001</v>
      </c>
      <c r="R23" s="30">
        <v>5514.5952108000001</v>
      </c>
    </row>
    <row r="24" spans="1:18" x14ac:dyDescent="0.35">
      <c r="B24">
        <v>2</v>
      </c>
      <c r="C24" s="29">
        <v>2076.299</v>
      </c>
      <c r="D24" s="36">
        <v>2.7983259554634432E-2</v>
      </c>
      <c r="E24" s="11">
        <v>8230.5</v>
      </c>
      <c r="F24" s="7">
        <v>4150</v>
      </c>
      <c r="G24" s="7">
        <v>8719</v>
      </c>
      <c r="H24" s="7">
        <v>36183850</v>
      </c>
      <c r="I24">
        <v>1027.617</v>
      </c>
      <c r="J24">
        <v>35226.296999999999</v>
      </c>
      <c r="K24" s="29">
        <v>5.1499999999999997E-2</v>
      </c>
      <c r="L24">
        <v>2010</v>
      </c>
      <c r="M24" s="7">
        <v>1966255</v>
      </c>
      <c r="P24">
        <v>2076.299</v>
      </c>
      <c r="Q24" s="30">
        <v>-3519.5165802000001</v>
      </c>
      <c r="R24" s="30">
        <v>5595.8155802000001</v>
      </c>
    </row>
    <row r="25" spans="1:18" x14ac:dyDescent="0.35">
      <c r="A25">
        <v>2011</v>
      </c>
      <c r="B25">
        <v>1</v>
      </c>
      <c r="C25" s="29">
        <v>2132.819</v>
      </c>
      <c r="D25" s="36">
        <v>2.7221512893855836E-2</v>
      </c>
      <c r="E25" s="11">
        <v>8290</v>
      </c>
      <c r="F25" s="7">
        <v>4300</v>
      </c>
      <c r="G25" s="7">
        <v>8719</v>
      </c>
      <c r="H25" s="7">
        <v>37491700</v>
      </c>
      <c r="I25">
        <v>1033.82</v>
      </c>
      <c r="J25">
        <v>36074.036999999997</v>
      </c>
      <c r="K25" s="29">
        <v>5.1999999999999998E-2</v>
      </c>
      <c r="L25">
        <v>2011</v>
      </c>
      <c r="M25" s="7">
        <v>2019779</v>
      </c>
      <c r="P25">
        <v>2132.819</v>
      </c>
      <c r="Q25" s="30">
        <v>-3544.2169496000001</v>
      </c>
      <c r="R25" s="30">
        <v>5677.0359496000001</v>
      </c>
    </row>
    <row r="26" spans="1:18" x14ac:dyDescent="0.35">
      <c r="B26">
        <v>2</v>
      </c>
      <c r="C26" s="29">
        <v>1809.223</v>
      </c>
      <c r="D26" s="36">
        <v>-0.15172220427518698</v>
      </c>
      <c r="E26" s="11">
        <v>8566.5</v>
      </c>
      <c r="F26" s="7">
        <v>4350</v>
      </c>
      <c r="G26" s="7">
        <v>8719</v>
      </c>
      <c r="H26" s="7">
        <v>37927650</v>
      </c>
      <c r="I26">
        <v>1677.2984999999999</v>
      </c>
      <c r="J26">
        <v>36614.592499999999</v>
      </c>
      <c r="K26" s="29">
        <v>5.1999999999999998E-2</v>
      </c>
      <c r="L26">
        <v>2011</v>
      </c>
      <c r="M26" s="7">
        <v>2076299</v>
      </c>
      <c r="P26">
        <v>1809.223</v>
      </c>
      <c r="Q26" s="30">
        <v>-3662.6337726000002</v>
      </c>
      <c r="R26" s="30">
        <v>5471.8567726000001</v>
      </c>
    </row>
    <row r="27" spans="1:18" x14ac:dyDescent="0.35">
      <c r="A27">
        <v>2012</v>
      </c>
      <c r="B27">
        <v>1</v>
      </c>
      <c r="C27" s="29">
        <v>1485.627</v>
      </c>
      <c r="D27" s="36">
        <v>-0.17885910139325004</v>
      </c>
      <c r="E27" s="11">
        <v>8843</v>
      </c>
      <c r="F27" s="7">
        <v>4400</v>
      </c>
      <c r="G27" s="7">
        <v>8719</v>
      </c>
      <c r="H27" s="7">
        <v>38363600</v>
      </c>
      <c r="I27">
        <v>2320.777</v>
      </c>
      <c r="J27">
        <v>37155.148000000001</v>
      </c>
      <c r="K27" s="29">
        <v>5.1999999999999998E-2</v>
      </c>
      <c r="L27">
        <v>2012</v>
      </c>
      <c r="M27" s="7">
        <v>2132819</v>
      </c>
      <c r="P27">
        <v>1485.627</v>
      </c>
      <c r="Q27" s="30">
        <v>-3781.0505956000002</v>
      </c>
      <c r="R27" s="30">
        <v>5266.6775956000001</v>
      </c>
    </row>
    <row r="28" spans="1:18" x14ac:dyDescent="0.35">
      <c r="B28">
        <v>2</v>
      </c>
      <c r="C28" s="29">
        <v>897.17699999999991</v>
      </c>
      <c r="D28" s="36">
        <v>-0.39609538598854227</v>
      </c>
      <c r="E28" s="11">
        <v>9117</v>
      </c>
      <c r="F28" s="7">
        <v>4600</v>
      </c>
      <c r="G28" s="7">
        <v>8719</v>
      </c>
      <c r="H28" s="7">
        <v>40107400</v>
      </c>
      <c r="I28">
        <v>2215.1265000000003</v>
      </c>
      <c r="J28">
        <v>37213.822999999997</v>
      </c>
      <c r="K28" s="29">
        <v>5.2499999999999998E-2</v>
      </c>
      <c r="L28">
        <v>2012</v>
      </c>
      <c r="M28" s="7">
        <v>1809223</v>
      </c>
      <c r="P28">
        <v>897.17699999999991</v>
      </c>
      <c r="Q28" s="30">
        <v>-3905.5712760000001</v>
      </c>
      <c r="R28" s="30">
        <v>4802.7482760000003</v>
      </c>
    </row>
    <row r="29" spans="1:18" x14ac:dyDescent="0.35">
      <c r="A29">
        <v>2013</v>
      </c>
      <c r="B29">
        <v>1</v>
      </c>
      <c r="C29" s="29">
        <v>308.72699999999998</v>
      </c>
      <c r="D29" s="36">
        <v>-0.65589064365225591</v>
      </c>
      <c r="E29" s="11">
        <v>9391</v>
      </c>
      <c r="F29" s="7">
        <v>4800</v>
      </c>
      <c r="G29" s="7">
        <v>8719</v>
      </c>
      <c r="H29" s="7">
        <v>41851200</v>
      </c>
      <c r="I29">
        <v>2109.4760000000001</v>
      </c>
      <c r="J29">
        <v>37272.498</v>
      </c>
      <c r="K29" s="29">
        <v>5.2999999999999999E-2</v>
      </c>
      <c r="L29">
        <v>2013</v>
      </c>
      <c r="M29" s="7">
        <v>1485627</v>
      </c>
      <c r="P29">
        <v>308.72699999999998</v>
      </c>
      <c r="Q29" s="30">
        <v>-4030.0919564000005</v>
      </c>
      <c r="R29" s="30">
        <v>4338.8189564000004</v>
      </c>
    </row>
    <row r="30" spans="1:18" x14ac:dyDescent="0.35">
      <c r="B30">
        <v>2</v>
      </c>
      <c r="C30" s="29">
        <v>291.86199999999997</v>
      </c>
      <c r="D30" s="36">
        <v>-5.4627551202194854E-2</v>
      </c>
      <c r="E30" s="11">
        <v>9749.5</v>
      </c>
      <c r="F30" s="7">
        <v>5250</v>
      </c>
      <c r="G30" s="7">
        <v>8719</v>
      </c>
      <c r="H30" s="7">
        <v>45774750</v>
      </c>
      <c r="I30">
        <v>1864.6534999999999</v>
      </c>
      <c r="J30">
        <v>36791.446000000004</v>
      </c>
      <c r="K30" s="29">
        <v>5.45E-2</v>
      </c>
      <c r="L30">
        <v>2013</v>
      </c>
      <c r="M30" s="7">
        <v>897177</v>
      </c>
      <c r="P30">
        <v>291.86199999999997</v>
      </c>
      <c r="Q30" s="30">
        <v>-4196.1337004000006</v>
      </c>
      <c r="R30" s="30">
        <v>4487.9957004000007</v>
      </c>
    </row>
    <row r="31" spans="1:18" x14ac:dyDescent="0.35">
      <c r="A31">
        <v>2014</v>
      </c>
      <c r="B31">
        <v>1</v>
      </c>
      <c r="C31" s="29">
        <v>274.99700000000001</v>
      </c>
      <c r="D31" s="36">
        <v>-5.778415826657788E-2</v>
      </c>
      <c r="E31" s="11">
        <v>10108</v>
      </c>
      <c r="F31" s="7">
        <v>5700</v>
      </c>
      <c r="G31" s="7">
        <v>8719</v>
      </c>
      <c r="H31" s="7">
        <v>49698300</v>
      </c>
      <c r="I31">
        <v>1619.8309999999999</v>
      </c>
      <c r="J31">
        <v>36310.394</v>
      </c>
      <c r="K31" s="29">
        <v>5.6000000000000001E-2</v>
      </c>
      <c r="L31">
        <v>2014</v>
      </c>
      <c r="M31" s="7">
        <v>308727</v>
      </c>
      <c r="P31">
        <v>274.99700000000001</v>
      </c>
      <c r="Q31" s="30">
        <v>-4362.1754443999998</v>
      </c>
      <c r="R31" s="30">
        <v>4637.1724444000001</v>
      </c>
    </row>
    <row r="32" spans="1:18" x14ac:dyDescent="0.35">
      <c r="B32">
        <v>2</v>
      </c>
      <c r="C32" s="29">
        <v>460.04200000000003</v>
      </c>
      <c r="D32" s="36">
        <v>0.67289824979908874</v>
      </c>
      <c r="E32" s="11">
        <v>10751.5</v>
      </c>
      <c r="F32" s="7">
        <v>6250</v>
      </c>
      <c r="G32" s="7">
        <v>8719</v>
      </c>
      <c r="H32" s="7">
        <v>54493750</v>
      </c>
      <c r="I32">
        <v>1619.8305</v>
      </c>
      <c r="J32">
        <v>38379.345500000003</v>
      </c>
      <c r="K32" s="29">
        <v>5.5E-2</v>
      </c>
      <c r="L32">
        <v>2014</v>
      </c>
      <c r="M32" s="7">
        <v>291862</v>
      </c>
      <c r="P32">
        <v>460.04200000000003</v>
      </c>
      <c r="Q32" s="30">
        <v>-4640.5724219000003</v>
      </c>
      <c r="R32" s="30">
        <v>5100.6144219000007</v>
      </c>
    </row>
    <row r="33" spans="1:18" x14ac:dyDescent="0.35">
      <c r="A33">
        <v>2015</v>
      </c>
      <c r="B33">
        <v>1</v>
      </c>
      <c r="C33" s="29">
        <v>645.08699999999999</v>
      </c>
      <c r="D33" s="36">
        <v>0.40223501332487022</v>
      </c>
      <c r="E33" s="11">
        <v>11395</v>
      </c>
      <c r="F33" s="7">
        <v>6800</v>
      </c>
      <c r="G33" s="7">
        <v>8719</v>
      </c>
      <c r="H33" s="7">
        <v>59289200</v>
      </c>
      <c r="I33">
        <v>1619.83</v>
      </c>
      <c r="J33">
        <v>40448.296999999999</v>
      </c>
      <c r="K33" s="29">
        <v>5.3999999999999999E-2</v>
      </c>
      <c r="L33">
        <v>2015</v>
      </c>
      <c r="M33" s="7">
        <v>274997</v>
      </c>
      <c r="P33">
        <v>645.08699999999999</v>
      </c>
      <c r="Q33" s="30">
        <v>-4918.9693994000008</v>
      </c>
      <c r="R33" s="30">
        <v>5564.0563994000004</v>
      </c>
    </row>
    <row r="34" spans="1:18" x14ac:dyDescent="0.35">
      <c r="B34">
        <v>2</v>
      </c>
      <c r="C34" s="29">
        <v>596.84100000000001</v>
      </c>
      <c r="D34" s="36">
        <v>-7.4789912058373487E-2</v>
      </c>
      <c r="E34" s="11">
        <v>11728</v>
      </c>
      <c r="F34" s="7">
        <v>6500</v>
      </c>
      <c r="G34" s="7">
        <v>8719</v>
      </c>
      <c r="H34" s="7">
        <v>56673500</v>
      </c>
      <c r="I34">
        <v>1472.271</v>
      </c>
      <c r="J34">
        <v>43815.616000000002</v>
      </c>
      <c r="K34" s="29">
        <v>5.2000000000000005E-2</v>
      </c>
      <c r="L34">
        <v>2015</v>
      </c>
      <c r="M34" s="7">
        <v>460042</v>
      </c>
      <c r="P34">
        <v>596.84100000000001</v>
      </c>
      <c r="Q34" s="30">
        <v>-5059.3726709000002</v>
      </c>
      <c r="R34" s="30">
        <v>5656.2136709000006</v>
      </c>
    </row>
    <row r="35" spans="1:18" x14ac:dyDescent="0.35">
      <c r="A35">
        <v>2016</v>
      </c>
      <c r="B35">
        <v>1</v>
      </c>
      <c r="C35" s="29">
        <v>548.59500000000003</v>
      </c>
      <c r="D35" s="36">
        <v>-8.0835599431004199E-2</v>
      </c>
      <c r="E35" s="11">
        <v>12061</v>
      </c>
      <c r="F35" s="7">
        <v>6200</v>
      </c>
      <c r="G35" s="7">
        <v>8719</v>
      </c>
      <c r="H35" s="7">
        <v>54057800</v>
      </c>
      <c r="I35">
        <v>1324.712</v>
      </c>
      <c r="J35">
        <v>47182.934999999998</v>
      </c>
      <c r="K35" s="29">
        <v>0.05</v>
      </c>
      <c r="L35">
        <v>2016</v>
      </c>
      <c r="M35" s="7">
        <v>645087</v>
      </c>
      <c r="P35">
        <v>548.59500000000003</v>
      </c>
      <c r="Q35" s="30">
        <v>-5199.7759424000005</v>
      </c>
      <c r="R35" s="30">
        <v>5748.3709424000008</v>
      </c>
    </row>
    <row r="36" spans="1:18" x14ac:dyDescent="0.35">
      <c r="B36">
        <v>2</v>
      </c>
      <c r="C36" s="29">
        <v>1017.111</v>
      </c>
      <c r="D36" s="36">
        <v>0.85402892844448075</v>
      </c>
      <c r="E36" s="11">
        <v>12123</v>
      </c>
      <c r="F36" s="7">
        <v>6250</v>
      </c>
      <c r="G36" s="7">
        <v>8719</v>
      </c>
      <c r="H36" s="7">
        <v>54493750</v>
      </c>
      <c r="I36">
        <v>1471.453</v>
      </c>
      <c r="J36">
        <v>53210.616000000002</v>
      </c>
      <c r="K36" s="29">
        <v>5.4000000000000006E-2</v>
      </c>
      <c r="L36">
        <v>2016</v>
      </c>
      <c r="M36" s="7">
        <v>596841</v>
      </c>
      <c r="P36">
        <v>1017.111</v>
      </c>
      <c r="Q36" s="30">
        <v>-5227.480099800001</v>
      </c>
      <c r="R36" s="30">
        <v>6244.5910998000008</v>
      </c>
    </row>
    <row r="37" spans="1:18" x14ac:dyDescent="0.35">
      <c r="A37">
        <v>2017</v>
      </c>
      <c r="B37">
        <v>1</v>
      </c>
      <c r="C37" s="29">
        <v>1485.627</v>
      </c>
      <c r="D37" s="36">
        <v>0.46063409008456302</v>
      </c>
      <c r="E37" s="11">
        <v>12185</v>
      </c>
      <c r="F37" s="7">
        <v>6300</v>
      </c>
      <c r="G37" s="7">
        <v>8719</v>
      </c>
      <c r="H37" s="7">
        <v>54929700</v>
      </c>
      <c r="I37">
        <v>1618.194</v>
      </c>
      <c r="J37">
        <v>59238.296999999999</v>
      </c>
      <c r="K37" s="29">
        <v>5.8000000000000003E-2</v>
      </c>
      <c r="L37">
        <v>2017</v>
      </c>
      <c r="M37" s="7">
        <v>548595</v>
      </c>
      <c r="P37">
        <v>1485.627</v>
      </c>
      <c r="Q37" s="30">
        <v>-5255.1842572000005</v>
      </c>
      <c r="R37" s="30">
        <v>6740.8112572000009</v>
      </c>
    </row>
    <row r="38" spans="1:18" x14ac:dyDescent="0.35">
      <c r="B38">
        <v>2</v>
      </c>
      <c r="C38" s="29">
        <v>1636.4634999999998</v>
      </c>
      <c r="D38" s="36">
        <v>0.10153053222646054</v>
      </c>
      <c r="E38" s="11">
        <v>12494.5</v>
      </c>
      <c r="F38" s="7">
        <v>6350</v>
      </c>
      <c r="G38" s="7">
        <v>8719</v>
      </c>
      <c r="H38" s="7">
        <v>55365650</v>
      </c>
      <c r="I38">
        <v>1281.8630000000001</v>
      </c>
      <c r="J38">
        <v>59219.416859999998</v>
      </c>
      <c r="K38" s="29">
        <v>5.7500000000000002E-2</v>
      </c>
      <c r="L38">
        <v>2017</v>
      </c>
      <c r="M38" s="7">
        <v>1017111</v>
      </c>
      <c r="P38">
        <v>1636.4634999999998</v>
      </c>
      <c r="Q38" s="30">
        <v>-5380.0747778000004</v>
      </c>
      <c r="R38" s="30">
        <v>7016.5382778000003</v>
      </c>
    </row>
    <row r="39" spans="1:18" x14ac:dyDescent="0.35">
      <c r="A39">
        <v>2018</v>
      </c>
      <c r="B39">
        <v>1</v>
      </c>
      <c r="C39" s="29">
        <v>1787.3</v>
      </c>
      <c r="D39" s="36">
        <v>9.2172236044372594E-2</v>
      </c>
      <c r="E39" s="11">
        <v>12804</v>
      </c>
      <c r="F39" s="7">
        <v>6400</v>
      </c>
      <c r="G39" s="7">
        <v>8719</v>
      </c>
      <c r="H39" s="7">
        <v>55801600</v>
      </c>
      <c r="I39">
        <v>945.53200000000004</v>
      </c>
      <c r="J39">
        <v>59200.536719999996</v>
      </c>
      <c r="K39" s="29">
        <v>5.7000000000000002E-2</v>
      </c>
      <c r="L39">
        <v>2018</v>
      </c>
      <c r="M39" s="7">
        <v>1485627</v>
      </c>
      <c r="P39">
        <v>1787.3</v>
      </c>
      <c r="Q39" s="30">
        <v>-5504.9652984000004</v>
      </c>
      <c r="R39" s="30">
        <v>7292.2652984000006</v>
      </c>
    </row>
    <row r="40" spans="1:18" x14ac:dyDescent="0.35">
      <c r="B40">
        <v>2</v>
      </c>
      <c r="C40" s="29">
        <v>1564.932</v>
      </c>
      <c r="D40" s="36">
        <v>-0.12441559894813403</v>
      </c>
      <c r="E40" s="11">
        <v>12847.5</v>
      </c>
      <c r="F40" s="7">
        <v>6450</v>
      </c>
      <c r="G40" s="7">
        <v>8719</v>
      </c>
      <c r="H40" s="7">
        <v>56237550</v>
      </c>
      <c r="I40">
        <v>1569.7485000000001</v>
      </c>
      <c r="J40">
        <v>56902.286529999998</v>
      </c>
      <c r="K40" s="29">
        <v>5.3500000000000006E-2</v>
      </c>
      <c r="L40">
        <v>2018</v>
      </c>
      <c r="M40" s="7">
        <v>1636463.5</v>
      </c>
      <c r="P40">
        <v>1564.932</v>
      </c>
      <c r="Q40" s="30">
        <v>-5520.9123175500008</v>
      </c>
      <c r="R40" s="30">
        <v>7085.8443175500006</v>
      </c>
    </row>
    <row r="41" spans="1:18" x14ac:dyDescent="0.35">
      <c r="A41">
        <v>2019</v>
      </c>
      <c r="B41">
        <v>1</v>
      </c>
      <c r="C41" s="29">
        <v>1342.5640000000001</v>
      </c>
      <c r="D41" s="36">
        <v>-0.14209435298147136</v>
      </c>
      <c r="E41" s="11">
        <v>12891</v>
      </c>
      <c r="F41" s="7">
        <v>6500</v>
      </c>
      <c r="G41" s="7">
        <v>8719</v>
      </c>
      <c r="H41" s="7">
        <v>56673500</v>
      </c>
      <c r="I41">
        <v>2193.9650000000001</v>
      </c>
      <c r="J41">
        <v>54604.036340000006</v>
      </c>
      <c r="K41" s="29">
        <v>0.05</v>
      </c>
      <c r="L41">
        <v>2019</v>
      </c>
      <c r="M41" s="7">
        <v>1787300</v>
      </c>
      <c r="P41">
        <v>1342.5640000000001</v>
      </c>
      <c r="Q41" s="30">
        <v>-5536.8593367000003</v>
      </c>
      <c r="R41" s="30">
        <v>6879.4233367000006</v>
      </c>
    </row>
    <row r="42" spans="1:18" x14ac:dyDescent="0.35">
      <c r="B42">
        <v>2</v>
      </c>
      <c r="C42" s="29">
        <v>1288.5965000000001</v>
      </c>
      <c r="D42" s="36">
        <v>-4.0197338823326094E-2</v>
      </c>
      <c r="E42" s="11">
        <v>13013.5</v>
      </c>
      <c r="F42" s="7">
        <v>6700</v>
      </c>
      <c r="G42" s="7">
        <v>8719</v>
      </c>
      <c r="H42" s="7">
        <v>58417300</v>
      </c>
      <c r="I42">
        <v>1813.3120725000001</v>
      </c>
      <c r="J42">
        <v>54626.622290000007</v>
      </c>
      <c r="K42" s="29">
        <v>0.05</v>
      </c>
      <c r="L42">
        <v>2019</v>
      </c>
      <c r="M42" s="7">
        <v>1564932</v>
      </c>
      <c r="P42">
        <v>1288.5965000000001</v>
      </c>
      <c r="Q42" s="30">
        <v>-5593.9985069000004</v>
      </c>
      <c r="R42" s="30">
        <v>6882.595006900001</v>
      </c>
    </row>
    <row r="43" spans="1:18" x14ac:dyDescent="0.35">
      <c r="A43">
        <v>2020</v>
      </c>
      <c r="B43">
        <v>1</v>
      </c>
      <c r="C43" s="29">
        <v>1234.6289999999999</v>
      </c>
      <c r="D43" s="36">
        <v>-4.1880837019191187E-2</v>
      </c>
      <c r="E43" s="11">
        <v>13136</v>
      </c>
      <c r="F43" s="7">
        <v>6900</v>
      </c>
      <c r="G43" s="7">
        <v>8719</v>
      </c>
      <c r="H43" s="7">
        <v>60161100</v>
      </c>
      <c r="I43">
        <v>1432.6591450000001</v>
      </c>
      <c r="J43">
        <v>54649.20824</v>
      </c>
      <c r="K43" s="29">
        <v>0.05</v>
      </c>
      <c r="L43">
        <v>2020</v>
      </c>
      <c r="M43" s="7">
        <v>1342564</v>
      </c>
      <c r="P43">
        <v>1234.6289999999999</v>
      </c>
      <c r="Q43" s="30">
        <v>-5651.1376771000005</v>
      </c>
      <c r="R43" s="30">
        <v>6885.7666771000004</v>
      </c>
    </row>
    <row r="44" spans="1:18" x14ac:dyDescent="0.35">
      <c r="B44">
        <v>2</v>
      </c>
      <c r="C44" s="29">
        <v>1261.61275</v>
      </c>
      <c r="D44" s="36">
        <v>2.1855755858642637E-2</v>
      </c>
      <c r="E44" s="11">
        <v>13074.75</v>
      </c>
      <c r="F44" s="7">
        <v>4200</v>
      </c>
      <c r="G44" s="7">
        <v>8719</v>
      </c>
      <c r="H44" s="7">
        <v>36619800</v>
      </c>
      <c r="I44">
        <v>1622.9856087500002</v>
      </c>
      <c r="J44">
        <v>54637.915265000003</v>
      </c>
      <c r="K44" s="29">
        <v>0.05</v>
      </c>
      <c r="L44">
        <v>2020</v>
      </c>
      <c r="M44" s="7">
        <v>1288596.5</v>
      </c>
      <c r="P44">
        <v>1261.61275</v>
      </c>
      <c r="Q44" s="30">
        <v>-5625.6894553499997</v>
      </c>
      <c r="R44" s="30">
        <v>6887.3022053499999</v>
      </c>
    </row>
    <row r="45" spans="1:18" x14ac:dyDescent="0.35">
      <c r="A45">
        <v>2021</v>
      </c>
      <c r="B45">
        <v>1</v>
      </c>
      <c r="C45" s="29">
        <v>1153.28751277584</v>
      </c>
      <c r="D45" s="36">
        <v>-8.5862509889948396E-2</v>
      </c>
      <c r="E45" s="11">
        <v>12928.1759581882</v>
      </c>
      <c r="F45" s="7">
        <v>7139.0243902438997</v>
      </c>
      <c r="G45" s="7">
        <v>8719</v>
      </c>
      <c r="H45" s="7">
        <v>62245153.658536561</v>
      </c>
      <c r="I45">
        <v>1779.1902879007</v>
      </c>
      <c r="J45">
        <v>57054.9182043322</v>
      </c>
      <c r="K45" s="29">
        <v>5.2487804878048799E-2</v>
      </c>
      <c r="L45">
        <v>2021</v>
      </c>
      <c r="M45" s="7">
        <v>1234629</v>
      </c>
      <c r="P45">
        <v>1153.28751277584</v>
      </c>
      <c r="Q45" s="30">
        <v>-5563.3698141156992</v>
      </c>
      <c r="R45" s="30">
        <v>6716.657326891539</v>
      </c>
    </row>
    <row r="46" spans="1:18" x14ac:dyDescent="0.35">
      <c r="B46">
        <v>2</v>
      </c>
      <c r="C46" s="29">
        <v>1143.9187993612099</v>
      </c>
      <c r="D46" s="36">
        <v>-8.1234846565541759E-3</v>
      </c>
      <c r="E46" s="11">
        <v>13099.277996110501</v>
      </c>
      <c r="F46" s="7">
        <v>7277.71655457418</v>
      </c>
      <c r="G46" s="7">
        <v>8719</v>
      </c>
      <c r="H46" s="7">
        <v>63454410.639332272</v>
      </c>
      <c r="I46">
        <v>1801.39945209292</v>
      </c>
      <c r="J46">
        <v>58014.371324306601</v>
      </c>
      <c r="K46" s="29">
        <v>5.2410825702941401E-2</v>
      </c>
      <c r="L46">
        <v>2021</v>
      </c>
      <c r="M46" s="7">
        <v>1261612.75</v>
      </c>
      <c r="P46">
        <v>1143.9187993612099</v>
      </c>
      <c r="Q46" s="30">
        <v>-5636.7988292962154</v>
      </c>
      <c r="R46" s="30">
        <v>6780.7176286574249</v>
      </c>
    </row>
    <row r="47" spans="1:18" x14ac:dyDescent="0.35">
      <c r="A47">
        <v>2022</v>
      </c>
      <c r="B47">
        <v>1</v>
      </c>
      <c r="C47" s="29">
        <v>1134.5500859465701</v>
      </c>
      <c r="D47" s="36">
        <v>-8.190016126906511E-3</v>
      </c>
      <c r="E47" s="11">
        <v>13270.3800340329</v>
      </c>
      <c r="F47" s="7">
        <v>7416.4087189044603</v>
      </c>
      <c r="G47" s="7">
        <v>8719</v>
      </c>
      <c r="H47" s="7">
        <v>64663667.620127991</v>
      </c>
      <c r="I47">
        <v>1823.60861628515</v>
      </c>
      <c r="J47">
        <v>58973.824444281105</v>
      </c>
      <c r="K47" s="29">
        <v>5.2333846527834099E-2</v>
      </c>
      <c r="L47">
        <v>2022</v>
      </c>
      <c r="M47" s="7">
        <v>1153287.51277584</v>
      </c>
      <c r="P47">
        <v>1134.5500859465701</v>
      </c>
      <c r="Q47" s="30">
        <v>-5712.785184335311</v>
      </c>
      <c r="R47" s="30">
        <v>6847.3352702818811</v>
      </c>
    </row>
    <row r="48" spans="1:18" x14ac:dyDescent="0.35">
      <c r="B48">
        <v>2</v>
      </c>
      <c r="C48" s="29">
        <v>1125.18137253194</v>
      </c>
      <c r="D48" s="36">
        <v>-8.2576463839528283E-3</v>
      </c>
      <c r="E48" s="11">
        <v>13441.482071955301</v>
      </c>
      <c r="F48" s="7">
        <v>7555.1008832347397</v>
      </c>
      <c r="G48" s="7">
        <v>8719</v>
      </c>
      <c r="H48" s="7">
        <v>65872924.600923695</v>
      </c>
      <c r="I48">
        <v>1845.81778047737</v>
      </c>
      <c r="J48">
        <v>59933.277564255601</v>
      </c>
      <c r="K48" s="29">
        <v>5.2256867352726701E-2</v>
      </c>
      <c r="L48">
        <v>2022</v>
      </c>
      <c r="M48" s="7">
        <v>1143918.7993612101</v>
      </c>
      <c r="P48">
        <v>1125.18137253194</v>
      </c>
      <c r="Q48" s="30">
        <v>-5786.9012610744057</v>
      </c>
      <c r="R48" s="30">
        <v>6912.0826336063456</v>
      </c>
    </row>
    <row r="49" spans="1:19" x14ac:dyDescent="0.35">
      <c r="A49" s="38">
        <v>2023</v>
      </c>
      <c r="B49" s="38"/>
      <c r="C49" s="29">
        <v>1115.81265911731</v>
      </c>
      <c r="D49" s="36">
        <v>-8.3264028745411167E-3</v>
      </c>
      <c r="E49" s="11"/>
      <c r="F49" s="7"/>
      <c r="G49" s="7"/>
      <c r="H49" s="7"/>
      <c r="K49" s="16"/>
      <c r="M49" s="7"/>
      <c r="Q49" s="30"/>
      <c r="R49" s="30"/>
    </row>
    <row r="50" spans="1:19" x14ac:dyDescent="0.35">
      <c r="A50" s="38">
        <v>2024</v>
      </c>
      <c r="B50" s="38"/>
      <c r="C50" s="29">
        <v>1106.4439457026699</v>
      </c>
      <c r="D50" s="36">
        <v>-8.3963139673029086E-3</v>
      </c>
      <c r="R50" s="30">
        <v>-3622549863857.7559</v>
      </c>
    </row>
    <row r="51" spans="1:19" x14ac:dyDescent="0.35">
      <c r="A51" s="38">
        <v>2025</v>
      </c>
      <c r="B51" s="38"/>
      <c r="C51" s="29">
        <v>1097.0752322880401</v>
      </c>
      <c r="D51" s="36">
        <v>-8.4674089916774269E-3</v>
      </c>
      <c r="R51" s="30">
        <v>-172502374469.41693</v>
      </c>
      <c r="S51">
        <v>172502374469.41693</v>
      </c>
    </row>
    <row r="52" spans="1:19" x14ac:dyDescent="0.35">
      <c r="A52" s="38">
        <v>2026</v>
      </c>
      <c r="B52" s="38"/>
      <c r="C52" s="29">
        <v>1087.7065188734</v>
      </c>
      <c r="D52" s="36">
        <v>-8.5397182790289163E-3</v>
      </c>
      <c r="R52">
        <v>415334.05166133074</v>
      </c>
    </row>
    <row r="53" spans="1:19" x14ac:dyDescent="0.35">
      <c r="A53" s="38">
        <v>2027</v>
      </c>
      <c r="B53" s="38"/>
      <c r="C53" s="29">
        <v>1078.3378054587699</v>
      </c>
      <c r="D53" s="36">
        <v>-8.6132732056564097E-3</v>
      </c>
      <c r="I53" t="s">
        <v>310</v>
      </c>
    </row>
    <row r="54" spans="1:19" x14ac:dyDescent="0.35">
      <c r="D54" s="16">
        <v>2.1212705329536369E-2</v>
      </c>
      <c r="I54" t="s">
        <v>96</v>
      </c>
      <c r="J54">
        <v>-0.43213400000000002</v>
      </c>
    </row>
    <row r="55" spans="1:19" x14ac:dyDescent="0.35">
      <c r="I55" s="9" t="s">
        <v>104</v>
      </c>
      <c r="J55" s="30">
        <v>1.8899999999999999E-5</v>
      </c>
    </row>
    <row r="56" spans="1:19" x14ac:dyDescent="0.35">
      <c r="I56" t="s">
        <v>137</v>
      </c>
      <c r="J56">
        <v>-0.47216999999999998</v>
      </c>
    </row>
    <row r="57" spans="1:19" x14ac:dyDescent="0.35">
      <c r="I57" t="s">
        <v>105</v>
      </c>
      <c r="J57" s="30">
        <v>8.7299999999999994E-5</v>
      </c>
    </row>
    <row r="58" spans="1:19" x14ac:dyDescent="0.35">
      <c r="I58" t="s">
        <v>141</v>
      </c>
      <c r="J58">
        <v>-22438.86</v>
      </c>
    </row>
    <row r="59" spans="1:19" x14ac:dyDescent="0.35">
      <c r="I59" t="s">
        <v>109</v>
      </c>
      <c r="J59">
        <v>-103.9802</v>
      </c>
    </row>
    <row r="60" spans="1:19" x14ac:dyDescent="0.35">
      <c r="I60" t="s">
        <v>142</v>
      </c>
      <c r="J60">
        <v>5.5800000000000001E-4</v>
      </c>
    </row>
    <row r="62" spans="1:19" x14ac:dyDescent="0.35">
      <c r="I62" t="s">
        <v>326</v>
      </c>
      <c r="J62">
        <v>211340</v>
      </c>
    </row>
  </sheetData>
  <mergeCells count="1">
    <mergeCell ref="F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8C52-7C4F-4E51-BD4C-FD805F6E8F3D}">
  <dimension ref="A1:C52"/>
  <sheetViews>
    <sheetView topLeftCell="A41" workbookViewId="0">
      <selection activeCell="A49" sqref="A49:D49"/>
    </sheetView>
  </sheetViews>
  <sheetFormatPr defaultRowHeight="14.5" x14ac:dyDescent="0.35"/>
  <cols>
    <col min="3" max="3" width="8.90625" bestFit="1" customWidth="1"/>
  </cols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>
        <f>'Persamaan NI 2'!C3</f>
        <v>1171.665</v>
      </c>
      <c r="C2" s="30">
        <f>'Persamaan NI 2'!Q3</f>
        <v>-442115125.14947683</v>
      </c>
    </row>
    <row r="3" spans="1:3" x14ac:dyDescent="0.35">
      <c r="A3">
        <v>2000</v>
      </c>
      <c r="B3">
        <f>'Persamaan NI 2'!C4</f>
        <v>1204.452</v>
      </c>
      <c r="C3" s="30">
        <f>'Persamaan NI 2'!Q4</f>
        <v>-8682532.0394501276</v>
      </c>
    </row>
    <row r="4" spans="1:3" x14ac:dyDescent="0.35">
      <c r="A4">
        <v>2001</v>
      </c>
      <c r="B4">
        <f>'Persamaan NI 2'!C5</f>
        <v>1237.239</v>
      </c>
      <c r="C4" s="30">
        <f>'Persamaan NI 2'!Q5</f>
        <v>401288593.04836959</v>
      </c>
    </row>
    <row r="5" spans="1:3" x14ac:dyDescent="0.35">
      <c r="A5">
        <v>2001</v>
      </c>
      <c r="B5">
        <f>'Persamaan NI 2'!C6</f>
        <v>1271.8609999999999</v>
      </c>
      <c r="C5" s="30">
        <f>'Persamaan NI 2'!Q6</f>
        <v>-342377828075.55609</v>
      </c>
    </row>
    <row r="6" spans="1:3" x14ac:dyDescent="0.35">
      <c r="A6">
        <v>2002</v>
      </c>
      <c r="B6">
        <f>'Persamaan NI 2'!C7</f>
        <v>1306.4829999999999</v>
      </c>
      <c r="C6" s="30">
        <f>'Persamaan NI 2'!Q7</f>
        <v>3021966024.4526687</v>
      </c>
    </row>
    <row r="7" spans="1:3" x14ac:dyDescent="0.35">
      <c r="A7">
        <v>2002</v>
      </c>
      <c r="B7">
        <f>'Persamaan NI 2'!C8</f>
        <v>1343.0425</v>
      </c>
      <c r="C7" s="30">
        <f>'Persamaan NI 2'!Q8</f>
        <v>6139.9201011999994</v>
      </c>
    </row>
    <row r="8" spans="1:3" x14ac:dyDescent="0.35">
      <c r="A8">
        <v>2003</v>
      </c>
      <c r="B8">
        <f>'Persamaan NI 2'!C9</f>
        <v>1379.6020000000001</v>
      </c>
      <c r="C8" s="30">
        <f>'Persamaan NI 2'!Q9</f>
        <v>207367697.463622</v>
      </c>
    </row>
    <row r="9" spans="1:3" x14ac:dyDescent="0.35">
      <c r="A9">
        <v>2003</v>
      </c>
      <c r="B9">
        <f>'Persamaan NI 2'!C10</f>
        <v>1418.2075</v>
      </c>
      <c r="C9" s="30">
        <f>'Persamaan NI 2'!Q10</f>
        <v>3961747935873.3979</v>
      </c>
    </row>
    <row r="10" spans="1:3" x14ac:dyDescent="0.35">
      <c r="A10">
        <v>2004</v>
      </c>
      <c r="B10">
        <f>'Persamaan NI 2'!C11</f>
        <v>1456.8130000000001</v>
      </c>
      <c r="C10" s="30">
        <f>'Persamaan NI 2'!Q11</f>
        <v>-3127.2072329000002</v>
      </c>
    </row>
    <row r="11" spans="1:3" x14ac:dyDescent="0.35">
      <c r="A11">
        <v>2004</v>
      </c>
      <c r="B11">
        <f>'Persamaan NI 2'!C12</f>
        <v>1497.5790000000002</v>
      </c>
      <c r="C11" s="30">
        <f>'Persamaan NI 2'!Q12</f>
        <v>-3128.4221919500005</v>
      </c>
    </row>
    <row r="12" spans="1:3" x14ac:dyDescent="0.35">
      <c r="A12">
        <v>2005</v>
      </c>
      <c r="B12">
        <f>'Persamaan NI 2'!C13</f>
        <v>1538.345</v>
      </c>
      <c r="C12" s="30">
        <f>'Persamaan NI 2'!Q13</f>
        <v>-3129.6371510000004</v>
      </c>
    </row>
    <row r="13" spans="1:3" x14ac:dyDescent="0.35">
      <c r="A13">
        <v>2005</v>
      </c>
      <c r="B13">
        <f>'Persamaan NI 2'!C14</f>
        <v>1581.3924999999999</v>
      </c>
      <c r="C13" s="30">
        <f>'Persamaan NI 2'!Q14</f>
        <v>-3152.4179766000002</v>
      </c>
    </row>
    <row r="14" spans="1:3" x14ac:dyDescent="0.35">
      <c r="A14">
        <v>2006</v>
      </c>
      <c r="B14">
        <f>'Persamaan NI 2'!C15</f>
        <v>1624.44</v>
      </c>
      <c r="C14" s="30">
        <f>'Persamaan NI 2'!Q15</f>
        <v>-3175.1988022000005</v>
      </c>
    </row>
    <row r="15" spans="1:3" x14ac:dyDescent="0.35">
      <c r="A15">
        <v>2006</v>
      </c>
      <c r="B15">
        <f>'Persamaan NI 2'!C16</f>
        <v>1669.8969999999999</v>
      </c>
      <c r="C15" s="30">
        <f>'Persamaan NI 2'!Q16</f>
        <v>-3198.5847084500006</v>
      </c>
    </row>
    <row r="16" spans="1:3" x14ac:dyDescent="0.35">
      <c r="A16">
        <v>2007</v>
      </c>
      <c r="B16">
        <f>'Persamaan NI 2'!C17</f>
        <v>1715.354</v>
      </c>
      <c r="C16" s="30">
        <f>'Persamaan NI 2'!Q17</f>
        <v>-3221.9706147000002</v>
      </c>
    </row>
    <row r="17" spans="1:3" x14ac:dyDescent="0.35">
      <c r="A17">
        <v>2007</v>
      </c>
      <c r="B17">
        <f>'Persamaan NI 2'!C18</f>
        <v>1763.355</v>
      </c>
      <c r="C17" s="30">
        <f>'Persamaan NI 2'!Q18</f>
        <v>-3223.9203484000004</v>
      </c>
    </row>
    <row r="18" spans="1:3" x14ac:dyDescent="0.35">
      <c r="A18">
        <v>2008</v>
      </c>
      <c r="B18">
        <f>'Persamaan NI 2'!C19</f>
        <v>1811.356</v>
      </c>
      <c r="C18" s="30">
        <f>'Persamaan NI 2'!Q19</f>
        <v>-3225.8700821000002</v>
      </c>
    </row>
    <row r="19" spans="1:3" x14ac:dyDescent="0.35">
      <c r="A19">
        <v>2008</v>
      </c>
      <c r="B19">
        <f>'Persamaan NI 2'!C20</f>
        <v>1862.0435</v>
      </c>
      <c r="C19" s="30">
        <f>'Persamaan NI 2'!Q20</f>
        <v>-3249.8105682</v>
      </c>
    </row>
    <row r="20" spans="1:3" x14ac:dyDescent="0.35">
      <c r="A20">
        <v>2009</v>
      </c>
      <c r="B20">
        <f>'Persamaan NI 2'!C21</f>
        <v>1912.731</v>
      </c>
      <c r="C20" s="30">
        <f>'Persamaan NI 2'!Q21</f>
        <v>-3273.7510543000003</v>
      </c>
    </row>
    <row r="21" spans="1:3" x14ac:dyDescent="0.35">
      <c r="A21">
        <v>2009</v>
      </c>
      <c r="B21">
        <f>'Persamaan NI 2'!C22</f>
        <v>1966.2550000000001</v>
      </c>
      <c r="C21" s="30">
        <f>'Persamaan NI 2'!Q22</f>
        <v>-3384.2836325500002</v>
      </c>
    </row>
    <row r="22" spans="1:3" x14ac:dyDescent="0.35">
      <c r="A22">
        <v>2010</v>
      </c>
      <c r="B22">
        <f>'Persamaan NI 2'!C23</f>
        <v>2019.779</v>
      </c>
      <c r="C22" s="30">
        <f>'Persamaan NI 2'!Q23</f>
        <v>-3494.8162108000001</v>
      </c>
    </row>
    <row r="23" spans="1:3" x14ac:dyDescent="0.35">
      <c r="A23">
        <v>2010</v>
      </c>
      <c r="B23">
        <f>'Persamaan NI 2'!C24</f>
        <v>2076.299</v>
      </c>
      <c r="C23" s="30">
        <f>'Persamaan NI 2'!Q24</f>
        <v>-3519.5165802000001</v>
      </c>
    </row>
    <row r="24" spans="1:3" x14ac:dyDescent="0.35">
      <c r="A24">
        <v>2011</v>
      </c>
      <c r="B24">
        <f>'Persamaan NI 2'!C25</f>
        <v>2132.819</v>
      </c>
      <c r="C24" s="30">
        <f>'Persamaan NI 2'!Q25</f>
        <v>-3544.2169496000001</v>
      </c>
    </row>
    <row r="25" spans="1:3" x14ac:dyDescent="0.35">
      <c r="A25">
        <v>2011</v>
      </c>
      <c r="B25">
        <f>'Persamaan NI 2'!C26</f>
        <v>1809.223</v>
      </c>
      <c r="C25" s="30">
        <f>'Persamaan NI 2'!Q26</f>
        <v>-3662.6337726000002</v>
      </c>
    </row>
    <row r="26" spans="1:3" x14ac:dyDescent="0.35">
      <c r="A26">
        <v>2012</v>
      </c>
      <c r="B26">
        <f>'Persamaan NI 2'!C27</f>
        <v>1485.627</v>
      </c>
      <c r="C26" s="30">
        <f>'Persamaan NI 2'!Q27</f>
        <v>-3781.0505956000002</v>
      </c>
    </row>
    <row r="27" spans="1:3" x14ac:dyDescent="0.35">
      <c r="A27">
        <v>2012</v>
      </c>
      <c r="B27">
        <f>'Persamaan NI 2'!C28</f>
        <v>897.17699999999991</v>
      </c>
      <c r="C27" s="30">
        <f>'Persamaan NI 2'!Q28</f>
        <v>-3905.5712760000001</v>
      </c>
    </row>
    <row r="28" spans="1:3" x14ac:dyDescent="0.35">
      <c r="A28">
        <v>2013</v>
      </c>
      <c r="B28">
        <f>'Persamaan NI 2'!C29</f>
        <v>308.72699999999998</v>
      </c>
      <c r="C28" s="30">
        <f>'Persamaan NI 2'!Q29</f>
        <v>-4030.0919564000005</v>
      </c>
    </row>
    <row r="29" spans="1:3" x14ac:dyDescent="0.35">
      <c r="A29">
        <v>2013</v>
      </c>
      <c r="B29">
        <f>'Persamaan NI 2'!C30</f>
        <v>291.86199999999997</v>
      </c>
      <c r="C29" s="30">
        <f>'Persamaan NI 2'!Q30</f>
        <v>-4196.1337004000006</v>
      </c>
    </row>
    <row r="30" spans="1:3" x14ac:dyDescent="0.35">
      <c r="A30">
        <v>2014</v>
      </c>
      <c r="B30">
        <f>'Persamaan NI 2'!C31</f>
        <v>274.99700000000001</v>
      </c>
      <c r="C30" s="30">
        <f>'Persamaan NI 2'!Q31</f>
        <v>-4362.1754443999998</v>
      </c>
    </row>
    <row r="31" spans="1:3" x14ac:dyDescent="0.35">
      <c r="A31">
        <v>2014</v>
      </c>
      <c r="B31">
        <f>'Persamaan NI 2'!C32</f>
        <v>460.04200000000003</v>
      </c>
      <c r="C31" s="30">
        <f>'Persamaan NI 2'!Q32</f>
        <v>-4640.5724219000003</v>
      </c>
    </row>
    <row r="32" spans="1:3" x14ac:dyDescent="0.35">
      <c r="A32">
        <v>2015</v>
      </c>
      <c r="B32">
        <f>'Persamaan NI 2'!C33</f>
        <v>645.08699999999999</v>
      </c>
      <c r="C32" s="30">
        <f>'Persamaan NI 2'!Q33</f>
        <v>-4918.9693994000008</v>
      </c>
    </row>
    <row r="33" spans="1:3" x14ac:dyDescent="0.35">
      <c r="A33">
        <v>2015</v>
      </c>
      <c r="B33">
        <f>'Persamaan NI 2'!C34</f>
        <v>596.84100000000001</v>
      </c>
      <c r="C33" s="30">
        <f>'Persamaan NI 2'!Q34</f>
        <v>-5059.3726709000002</v>
      </c>
    </row>
    <row r="34" spans="1:3" x14ac:dyDescent="0.35">
      <c r="A34">
        <v>2016</v>
      </c>
      <c r="B34">
        <f>'Persamaan NI 2'!C35</f>
        <v>548.59500000000003</v>
      </c>
      <c r="C34" s="30">
        <f>'Persamaan NI 2'!Q35</f>
        <v>-5199.7759424000005</v>
      </c>
    </row>
    <row r="35" spans="1:3" x14ac:dyDescent="0.35">
      <c r="A35">
        <v>2016</v>
      </c>
      <c r="B35">
        <f>'Persamaan NI 2'!C36</f>
        <v>1017.111</v>
      </c>
      <c r="C35" s="30">
        <f>'Persamaan NI 2'!Q36</f>
        <v>-5227.480099800001</v>
      </c>
    </row>
    <row r="36" spans="1:3" x14ac:dyDescent="0.35">
      <c r="A36">
        <v>2017</v>
      </c>
      <c r="B36">
        <f>'Persamaan NI 2'!C37</f>
        <v>1485.627</v>
      </c>
      <c r="C36" s="30">
        <f>'Persamaan NI 2'!Q37</f>
        <v>-5255.1842572000005</v>
      </c>
    </row>
    <row r="37" spans="1:3" x14ac:dyDescent="0.35">
      <c r="A37">
        <v>2017</v>
      </c>
      <c r="B37">
        <f>'Persamaan NI 2'!C38</f>
        <v>1636.4634999999998</v>
      </c>
      <c r="C37" s="30">
        <f>'Persamaan NI 2'!Q38</f>
        <v>-5380.0747778000004</v>
      </c>
    </row>
    <row r="38" spans="1:3" x14ac:dyDescent="0.35">
      <c r="A38">
        <v>2018</v>
      </c>
      <c r="B38">
        <f>'Persamaan NI 2'!C39</f>
        <v>1787.3</v>
      </c>
      <c r="C38" s="30">
        <f>'Persamaan NI 2'!Q39</f>
        <v>-5504.9652984000004</v>
      </c>
    </row>
    <row r="39" spans="1:3" x14ac:dyDescent="0.35">
      <c r="A39">
        <v>2018</v>
      </c>
      <c r="B39">
        <f>'Persamaan NI 2'!C40</f>
        <v>1564.932</v>
      </c>
      <c r="C39" s="30">
        <f>'Persamaan NI 2'!Q40</f>
        <v>-5520.9123175500008</v>
      </c>
    </row>
    <row r="40" spans="1:3" x14ac:dyDescent="0.35">
      <c r="A40">
        <v>2019</v>
      </c>
      <c r="B40">
        <f>'Persamaan NI 2'!C41</f>
        <v>1342.5640000000001</v>
      </c>
      <c r="C40" s="30">
        <f>'Persamaan NI 2'!Q41</f>
        <v>-5536.8593367000003</v>
      </c>
    </row>
    <row r="41" spans="1:3" x14ac:dyDescent="0.35">
      <c r="A41">
        <v>2019</v>
      </c>
      <c r="B41">
        <f>'Persamaan NI 2'!C42</f>
        <v>1288.5965000000001</v>
      </c>
      <c r="C41" s="30">
        <f>'Persamaan NI 2'!Q42</f>
        <v>-5593.9985069000004</v>
      </c>
    </row>
    <row r="42" spans="1:3" x14ac:dyDescent="0.35">
      <c r="A42">
        <v>2020</v>
      </c>
      <c r="B42">
        <f>'Persamaan NI 2'!C43</f>
        <v>1234.6289999999999</v>
      </c>
      <c r="C42" s="30">
        <f>'Persamaan NI 2'!Q43</f>
        <v>-5651.1376771000005</v>
      </c>
    </row>
    <row r="43" spans="1:3" x14ac:dyDescent="0.35">
      <c r="A43">
        <v>2020</v>
      </c>
      <c r="B43">
        <f>'Persamaan NI 2'!C44</f>
        <v>1261.61275</v>
      </c>
      <c r="C43" s="30">
        <f>'Persamaan NI 2'!Q44</f>
        <v>-5625.6894553499997</v>
      </c>
    </row>
    <row r="44" spans="1:3" x14ac:dyDescent="0.35">
      <c r="A44">
        <v>2021</v>
      </c>
      <c r="B44">
        <f>'Persamaan NI 2'!C45</f>
        <v>1153.28751277584</v>
      </c>
      <c r="C44" s="30">
        <f>'Persamaan NI 2'!Q45</f>
        <v>-5563.3698141156992</v>
      </c>
    </row>
    <row r="45" spans="1:3" x14ac:dyDescent="0.35">
      <c r="A45">
        <v>2021</v>
      </c>
      <c r="B45">
        <f>'Persamaan NI 2'!C46</f>
        <v>1143.9187993612099</v>
      </c>
      <c r="C45" s="30">
        <f>'Persamaan NI 2'!Q46</f>
        <v>-5636.7988292962154</v>
      </c>
    </row>
    <row r="46" spans="1:3" x14ac:dyDescent="0.35">
      <c r="A46">
        <v>2022</v>
      </c>
      <c r="B46">
        <f>'Persamaan NI 2'!C47</f>
        <v>1134.5500859465701</v>
      </c>
      <c r="C46" s="30">
        <f>'Persamaan NI 2'!Q47</f>
        <v>-5712.785184335311</v>
      </c>
    </row>
    <row r="47" spans="1:3" x14ac:dyDescent="0.35">
      <c r="A47">
        <v>2022</v>
      </c>
      <c r="B47">
        <f>'Persamaan NI 2'!C48</f>
        <v>1125.18137253194</v>
      </c>
      <c r="C47" s="30">
        <f>'Persamaan NI 2'!Q48</f>
        <v>-5786.9012610744057</v>
      </c>
    </row>
    <row r="48" spans="1:3" x14ac:dyDescent="0.35">
      <c r="A48">
        <v>2023</v>
      </c>
      <c r="B48">
        <f>'Persamaan NI 2'!C49</f>
        <v>1115.81265911731</v>
      </c>
      <c r="C48" s="30"/>
    </row>
    <row r="49" spans="1:3" x14ac:dyDescent="0.35">
      <c r="A49">
        <v>2024</v>
      </c>
      <c r="B49">
        <f>'Persamaan NI 2'!C50</f>
        <v>1106.4439457026699</v>
      </c>
      <c r="C49" s="30"/>
    </row>
    <row r="50" spans="1:3" x14ac:dyDescent="0.35">
      <c r="A50">
        <v>2025</v>
      </c>
      <c r="B50">
        <f>'Persamaan NI 2'!C51</f>
        <v>1097.0752322880401</v>
      </c>
      <c r="C50" s="30"/>
    </row>
    <row r="51" spans="1:3" x14ac:dyDescent="0.35">
      <c r="A51">
        <v>2026</v>
      </c>
      <c r="B51">
        <f>'Persamaan NI 2'!C52</f>
        <v>1087.7065188734</v>
      </c>
      <c r="C51" s="30"/>
    </row>
    <row r="52" spans="1:3" x14ac:dyDescent="0.35">
      <c r="A52">
        <v>2027</v>
      </c>
      <c r="B52">
        <f>'Persamaan NI 2'!C53</f>
        <v>1078.3378054587699</v>
      </c>
      <c r="C52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1"/>
  <sheetViews>
    <sheetView tabSelected="1" topLeftCell="A45" workbookViewId="0">
      <selection activeCell="I10" sqref="I10"/>
    </sheetView>
  </sheetViews>
  <sheetFormatPr defaultRowHeight="14.5" x14ac:dyDescent="0.35"/>
  <cols>
    <col min="3" max="3" width="12.81640625" customWidth="1"/>
    <col min="4" max="4" width="12" customWidth="1"/>
    <col min="5" max="5" width="10.54296875" bestFit="1" customWidth="1"/>
    <col min="6" max="8" width="9.54296875" bestFit="1" customWidth="1"/>
    <col min="9" max="9" width="9.26953125" bestFit="1" customWidth="1"/>
    <col min="10" max="10" width="9.54296875" bestFit="1" customWidth="1"/>
    <col min="11" max="11" width="13.26953125" bestFit="1" customWidth="1"/>
    <col min="13" max="13" width="11.26953125" bestFit="1" customWidth="1"/>
    <col min="14" max="14" width="12.54296875" customWidth="1"/>
    <col min="15" max="15" width="12.1796875" customWidth="1"/>
  </cols>
  <sheetData>
    <row r="1" spans="1:15" x14ac:dyDescent="0.35">
      <c r="C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</row>
    <row r="2" spans="1:15" x14ac:dyDescent="0.35">
      <c r="M2" t="s">
        <v>328</v>
      </c>
      <c r="N2" t="s">
        <v>327</v>
      </c>
    </row>
    <row r="3" spans="1:15" x14ac:dyDescent="0.35">
      <c r="A3">
        <v>1</v>
      </c>
      <c r="B3">
        <v>2000</v>
      </c>
      <c r="C3" s="35">
        <v>922.22699999999998</v>
      </c>
      <c r="D3" s="35"/>
      <c r="E3" s="17">
        <v>7081</v>
      </c>
      <c r="F3" s="17">
        <v>1526.345</v>
      </c>
      <c r="G3" s="17">
        <v>758.726</v>
      </c>
      <c r="H3" s="17">
        <v>1171.665</v>
      </c>
      <c r="I3" s="18">
        <v>5.8000000000000003E-2</v>
      </c>
      <c r="J3" s="17">
        <v>755.77080000000001</v>
      </c>
      <c r="K3" s="17">
        <v>912947</v>
      </c>
      <c r="M3" s="29">
        <v>922.22699999999998</v>
      </c>
      <c r="N3" s="28">
        <v>964.69838681639976</v>
      </c>
      <c r="O3" s="28">
        <v>-42.471386816399786</v>
      </c>
    </row>
    <row r="4" spans="1:15" x14ac:dyDescent="0.35">
      <c r="A4">
        <v>2</v>
      </c>
      <c r="C4" s="35">
        <v>942.44299999999998</v>
      </c>
      <c r="D4" s="20">
        <v>2.19208502895708E-2</v>
      </c>
      <c r="E4" s="17">
        <v>7132</v>
      </c>
      <c r="F4" s="17">
        <v>1630.414</v>
      </c>
      <c r="G4" s="17">
        <v>764.50300000000004</v>
      </c>
      <c r="H4" s="17">
        <v>1204.452</v>
      </c>
      <c r="I4" s="18">
        <v>5.6000000000000001E-2</v>
      </c>
      <c r="J4" s="17">
        <v>758.58255000000008</v>
      </c>
      <c r="K4" s="17">
        <v>0</v>
      </c>
      <c r="M4" s="29">
        <v>942.44299999999998</v>
      </c>
      <c r="N4" s="28">
        <v>1154.9996508151503</v>
      </c>
      <c r="O4" s="28">
        <v>-212.55665081515031</v>
      </c>
    </row>
    <row r="5" spans="1:15" x14ac:dyDescent="0.35">
      <c r="A5">
        <v>1</v>
      </c>
      <c r="B5">
        <v>2001</v>
      </c>
      <c r="C5" s="35">
        <v>962.65899999999999</v>
      </c>
      <c r="D5" s="20">
        <v>2.19208502895708E-2</v>
      </c>
      <c r="E5" s="17">
        <v>7183</v>
      </c>
      <c r="F5" s="17">
        <v>1734.4829999999999</v>
      </c>
      <c r="G5" s="17">
        <v>770.28</v>
      </c>
      <c r="H5" s="17">
        <v>1237.239</v>
      </c>
      <c r="I5" s="18">
        <v>5.3999999999999999E-2</v>
      </c>
      <c r="J5" s="17">
        <v>761.39430000000004</v>
      </c>
      <c r="K5" s="17">
        <v>922227</v>
      </c>
      <c r="M5" s="29">
        <v>962.65899999999999</v>
      </c>
      <c r="N5" s="28">
        <v>1119.5745128138999</v>
      </c>
      <c r="O5" s="28">
        <v>-156.91551281389991</v>
      </c>
    </row>
    <row r="6" spans="1:15" x14ac:dyDescent="0.35">
      <c r="A6">
        <v>2</v>
      </c>
      <c r="C6" s="35">
        <v>968.505</v>
      </c>
      <c r="D6" s="20">
        <v>6.3390033039587906E-3</v>
      </c>
      <c r="E6" s="17">
        <v>7184.5</v>
      </c>
      <c r="F6" s="17">
        <v>1745.0165</v>
      </c>
      <c r="G6" s="17">
        <v>778.14</v>
      </c>
      <c r="H6" s="17">
        <v>1271.8610000000001</v>
      </c>
      <c r="I6" s="18">
        <v>5.3499999999999999E-2</v>
      </c>
      <c r="J6" s="17">
        <v>795.59265000000005</v>
      </c>
      <c r="K6" s="17">
        <v>942443</v>
      </c>
      <c r="M6" s="29">
        <v>968.505</v>
      </c>
      <c r="N6" s="28">
        <v>1107.4745014314497</v>
      </c>
      <c r="O6" s="28">
        <v>-138.96950143144966</v>
      </c>
    </row>
    <row r="7" spans="1:15" x14ac:dyDescent="0.35">
      <c r="A7">
        <v>1</v>
      </c>
      <c r="B7">
        <v>2002</v>
      </c>
      <c r="C7" s="35">
        <v>974.351</v>
      </c>
      <c r="D7" s="20">
        <v>6.3390033039587906E-3</v>
      </c>
      <c r="E7" s="17">
        <v>7186</v>
      </c>
      <c r="F7" s="17">
        <v>1755.55</v>
      </c>
      <c r="G7" s="17">
        <v>786</v>
      </c>
      <c r="H7" s="17">
        <v>1306.4829999999999</v>
      </c>
      <c r="I7" s="18">
        <v>5.2999999999999999E-2</v>
      </c>
      <c r="J7" s="17">
        <v>829.79099999999994</v>
      </c>
      <c r="K7" s="17">
        <v>962659</v>
      </c>
      <c r="M7" s="29">
        <v>974.351</v>
      </c>
      <c r="N7" s="28">
        <v>1095.3744900490005</v>
      </c>
      <c r="O7" s="28">
        <v>-121.02349004900054</v>
      </c>
    </row>
    <row r="8" spans="1:15" x14ac:dyDescent="0.35">
      <c r="A8">
        <v>2</v>
      </c>
      <c r="C8" s="35">
        <v>977.78500000000008</v>
      </c>
      <c r="D8" s="20">
        <v>3.723595166916695E-3</v>
      </c>
      <c r="E8" s="17">
        <v>7238.5</v>
      </c>
      <c r="F8" s="17">
        <v>1821.6189999999999</v>
      </c>
      <c r="G8" s="17">
        <v>795.25199999999995</v>
      </c>
      <c r="H8" s="17">
        <v>1343.0425</v>
      </c>
      <c r="I8" s="18">
        <v>5.3999999999999999E-2</v>
      </c>
      <c r="J8" s="17">
        <v>813.44734999999991</v>
      </c>
      <c r="K8" s="17">
        <v>968505</v>
      </c>
      <c r="M8" s="29">
        <v>977.78500000000008</v>
      </c>
      <c r="N8" s="28">
        <v>1066.3777814095492</v>
      </c>
      <c r="O8" s="28">
        <v>-88.592781409549161</v>
      </c>
    </row>
    <row r="9" spans="1:15" x14ac:dyDescent="0.35">
      <c r="A9">
        <v>1</v>
      </c>
      <c r="B9">
        <v>2003</v>
      </c>
      <c r="C9" s="35">
        <v>981.21900000000005</v>
      </c>
      <c r="D9" s="20">
        <v>3.7235951669165718E-3</v>
      </c>
      <c r="E9" s="17">
        <v>7291</v>
      </c>
      <c r="F9" s="17">
        <v>1887.6880000000001</v>
      </c>
      <c r="G9" s="17">
        <v>804.50400000000002</v>
      </c>
      <c r="H9" s="17">
        <v>1379.6020000000001</v>
      </c>
      <c r="I9" s="18">
        <v>5.5E-2</v>
      </c>
      <c r="J9" s="17">
        <v>797.1037</v>
      </c>
      <c r="K9" s="17">
        <v>974351</v>
      </c>
      <c r="M9" s="29">
        <v>981.21900000000005</v>
      </c>
      <c r="N9" s="28">
        <v>1037.3810727701</v>
      </c>
      <c r="O9" s="28">
        <v>-56.16207277009994</v>
      </c>
    </row>
    <row r="10" spans="1:15" x14ac:dyDescent="0.35">
      <c r="A10">
        <v>2</v>
      </c>
      <c r="C10" s="35">
        <v>986.17499999999995</v>
      </c>
      <c r="D10" s="20">
        <v>5.373948062678607E-3</v>
      </c>
      <c r="E10" s="17">
        <v>7294</v>
      </c>
      <c r="F10" s="17">
        <v>1981.0350000000001</v>
      </c>
      <c r="G10" s="17">
        <v>844.28700000000003</v>
      </c>
      <c r="H10" s="17">
        <v>1418.2075</v>
      </c>
      <c r="I10" s="18">
        <v>5.3999999999999999E-2</v>
      </c>
      <c r="J10" s="17">
        <v>807.55144999999993</v>
      </c>
      <c r="K10" s="17">
        <v>977785</v>
      </c>
      <c r="M10" s="29">
        <v>986.17499999999995</v>
      </c>
      <c r="N10" s="28">
        <v>1072.1731417178494</v>
      </c>
      <c r="O10" s="28">
        <v>-85.998141717849421</v>
      </c>
    </row>
    <row r="11" spans="1:15" x14ac:dyDescent="0.35">
      <c r="A11">
        <v>1</v>
      </c>
      <c r="B11">
        <v>2004</v>
      </c>
      <c r="C11" s="35">
        <v>991.13099999999997</v>
      </c>
      <c r="D11" s="20">
        <v>5.3739480626787302E-3</v>
      </c>
      <c r="E11" s="17">
        <v>7297</v>
      </c>
      <c r="F11" s="17">
        <v>2074.3820000000001</v>
      </c>
      <c r="G11" s="17">
        <v>884.07</v>
      </c>
      <c r="H11" s="17">
        <v>1456.8130000000001</v>
      </c>
      <c r="I11" s="18">
        <v>5.2999999999999999E-2</v>
      </c>
      <c r="J11" s="17">
        <v>817.99919999999997</v>
      </c>
      <c r="K11" s="17">
        <v>981219</v>
      </c>
      <c r="M11" s="29">
        <v>991.13099999999997</v>
      </c>
      <c r="N11" s="28">
        <v>1106.9652106656004</v>
      </c>
      <c r="O11" s="28">
        <v>-115.83421066560038</v>
      </c>
    </row>
    <row r="12" spans="1:15" x14ac:dyDescent="0.35">
      <c r="A12">
        <v>2</v>
      </c>
      <c r="C12" s="35">
        <v>995.12750000000005</v>
      </c>
      <c r="D12" s="20">
        <v>4.3335317660403378E-3</v>
      </c>
      <c r="E12" s="17">
        <v>7301.5</v>
      </c>
      <c r="F12" s="17">
        <v>2229.3645000000001</v>
      </c>
      <c r="G12" s="17">
        <v>890.80150000000003</v>
      </c>
      <c r="H12" s="17">
        <v>1497.579</v>
      </c>
      <c r="I12" s="18">
        <v>5.5E-2</v>
      </c>
      <c r="J12" s="17">
        <v>787.55439999999999</v>
      </c>
      <c r="K12" s="17">
        <v>986175</v>
      </c>
      <c r="M12" s="29">
        <v>995.12750000000005</v>
      </c>
      <c r="N12" s="28">
        <v>1033.2698312866996</v>
      </c>
      <c r="O12" s="28">
        <v>-38.142331286699573</v>
      </c>
    </row>
    <row r="13" spans="1:15" x14ac:dyDescent="0.35">
      <c r="A13">
        <v>1</v>
      </c>
      <c r="B13">
        <v>2005</v>
      </c>
      <c r="C13" s="35">
        <v>999.12400000000002</v>
      </c>
      <c r="D13" s="20">
        <v>4.3335317660402146E-3</v>
      </c>
      <c r="E13" s="17">
        <v>7306</v>
      </c>
      <c r="F13" s="17">
        <v>2384.3470000000002</v>
      </c>
      <c r="G13" s="17">
        <v>897.53300000000002</v>
      </c>
      <c r="H13" s="17">
        <v>1538.345</v>
      </c>
      <c r="I13" s="18">
        <v>5.7000000000000002E-2</v>
      </c>
      <c r="J13" s="17">
        <v>757.1096</v>
      </c>
      <c r="K13" s="17">
        <v>991131</v>
      </c>
      <c r="M13" s="29">
        <v>999.12400000000002</v>
      </c>
      <c r="N13" s="28">
        <v>959.57445190779947</v>
      </c>
      <c r="O13" s="28">
        <v>39.549548092200553</v>
      </c>
    </row>
    <row r="14" spans="1:15" x14ac:dyDescent="0.35">
      <c r="A14">
        <v>2</v>
      </c>
      <c r="C14" s="35">
        <v>1001.634</v>
      </c>
      <c r="D14" s="20">
        <v>2.7216726467561578E-3</v>
      </c>
      <c r="E14" s="17">
        <v>7360.5</v>
      </c>
      <c r="F14" s="17">
        <v>2408.6774999999998</v>
      </c>
      <c r="G14" s="17">
        <v>911.41250000000002</v>
      </c>
      <c r="H14" s="17">
        <v>1581.3924999999999</v>
      </c>
      <c r="I14" s="18">
        <v>5.6500000000000002E-2</v>
      </c>
      <c r="J14" s="17">
        <v>760.69360000000006</v>
      </c>
      <c r="K14" s="17">
        <v>995127.5</v>
      </c>
      <c r="M14" s="29">
        <v>1001.634</v>
      </c>
      <c r="N14" s="28">
        <v>981.68748827630009</v>
      </c>
      <c r="O14" s="28">
        <v>19.946511723699928</v>
      </c>
    </row>
    <row r="15" spans="1:15" x14ac:dyDescent="0.35">
      <c r="A15">
        <v>1</v>
      </c>
      <c r="B15">
        <v>2006</v>
      </c>
      <c r="C15" s="35">
        <v>1004.144</v>
      </c>
      <c r="D15" s="20">
        <v>2.7216726467561578E-3</v>
      </c>
      <c r="E15" s="17">
        <v>7415</v>
      </c>
      <c r="F15" s="17">
        <v>2433.0079999999998</v>
      </c>
      <c r="G15" s="17">
        <v>925.29200000000003</v>
      </c>
      <c r="H15" s="17">
        <v>1624.44</v>
      </c>
      <c r="I15" s="18">
        <v>5.6000000000000001E-2</v>
      </c>
      <c r="J15" s="17">
        <v>764.27760000000001</v>
      </c>
      <c r="K15" s="17">
        <v>999124</v>
      </c>
      <c r="M15" s="29">
        <v>1004.144</v>
      </c>
      <c r="N15" s="28">
        <v>1003.8005246447998</v>
      </c>
      <c r="O15" s="28">
        <v>0.34347535520021211</v>
      </c>
    </row>
    <row r="16" spans="1:15" x14ac:dyDescent="0.35">
      <c r="A16">
        <v>2</v>
      </c>
      <c r="C16" s="35">
        <v>1007.6835</v>
      </c>
      <c r="D16" s="20">
        <v>3.8379921646188799E-3</v>
      </c>
      <c r="E16" s="17">
        <v>7471</v>
      </c>
      <c r="F16" s="17">
        <v>2457.8344999999999</v>
      </c>
      <c r="G16" s="17">
        <v>940.58600000000001</v>
      </c>
      <c r="H16" s="17">
        <v>1669.8969999999999</v>
      </c>
      <c r="I16" s="18">
        <v>5.5E-2</v>
      </c>
      <c r="J16" s="17">
        <v>779.81039999999996</v>
      </c>
      <c r="K16" s="17">
        <v>1001634</v>
      </c>
      <c r="M16" s="29">
        <v>1007.6835</v>
      </c>
      <c r="N16" s="28">
        <v>1037.4926939832005</v>
      </c>
      <c r="O16" s="28">
        <v>-29.809193983200544</v>
      </c>
    </row>
    <row r="17" spans="1:15" x14ac:dyDescent="0.35">
      <c r="A17">
        <v>1</v>
      </c>
      <c r="B17">
        <v>2007</v>
      </c>
      <c r="C17" s="35">
        <v>1011.223</v>
      </c>
      <c r="D17" s="20">
        <v>3.8379921646188799E-3</v>
      </c>
      <c r="E17" s="17">
        <v>7527</v>
      </c>
      <c r="F17" s="17">
        <v>2482.6610000000001</v>
      </c>
      <c r="G17" s="17">
        <v>955.88</v>
      </c>
      <c r="H17" s="17">
        <v>1715.354</v>
      </c>
      <c r="I17" s="18">
        <v>5.3999999999999999E-2</v>
      </c>
      <c r="J17" s="17">
        <v>795.34319999999991</v>
      </c>
      <c r="K17" s="17">
        <v>1004144</v>
      </c>
      <c r="M17" s="29">
        <v>1011.223</v>
      </c>
      <c r="N17" s="28">
        <v>1071.1848633216007</v>
      </c>
      <c r="O17" s="28">
        <v>-59.961863321600731</v>
      </c>
    </row>
    <row r="18" spans="1:15" x14ac:dyDescent="0.35">
      <c r="A18">
        <v>2</v>
      </c>
      <c r="C18" s="35">
        <v>1011.729</v>
      </c>
      <c r="D18" s="20">
        <v>5.4867185627842764E-4</v>
      </c>
      <c r="E18" s="17">
        <v>7533.5</v>
      </c>
      <c r="F18" s="17">
        <v>2651.9335000000001</v>
      </c>
      <c r="G18" s="17">
        <v>968.63850000000002</v>
      </c>
      <c r="H18" s="17">
        <v>1763.355</v>
      </c>
      <c r="I18" s="18">
        <v>5.6499999999999995E-2</v>
      </c>
      <c r="J18" s="17">
        <v>807.8454999999999</v>
      </c>
      <c r="K18" s="17">
        <v>1007683.5</v>
      </c>
      <c r="M18" s="29">
        <v>1011.729</v>
      </c>
      <c r="N18" s="28">
        <v>940.97998934200075</v>
      </c>
      <c r="O18" s="28">
        <v>70.749010657999293</v>
      </c>
    </row>
    <row r="19" spans="1:15" x14ac:dyDescent="0.35">
      <c r="A19">
        <v>1</v>
      </c>
      <c r="B19">
        <v>2008</v>
      </c>
      <c r="C19" s="35">
        <v>1012.235</v>
      </c>
      <c r="D19" s="20">
        <v>5.4867185627830437E-4</v>
      </c>
      <c r="E19" s="17">
        <v>7540</v>
      </c>
      <c r="F19" s="17">
        <v>2821.2060000000001</v>
      </c>
      <c r="G19" s="17">
        <v>981.39700000000005</v>
      </c>
      <c r="H19" s="17">
        <v>1811.356</v>
      </c>
      <c r="I19" s="18">
        <v>5.8999999999999997E-2</v>
      </c>
      <c r="J19" s="17">
        <v>820.34780000000001</v>
      </c>
      <c r="K19" s="17">
        <v>1011223</v>
      </c>
      <c r="M19" s="29">
        <v>1012.235</v>
      </c>
      <c r="N19" s="28">
        <v>810.77511536240013</v>
      </c>
      <c r="O19" s="28">
        <v>201.45988463759988</v>
      </c>
    </row>
    <row r="20" spans="1:15" x14ac:dyDescent="0.35">
      <c r="A20">
        <v>2</v>
      </c>
      <c r="C20" s="35">
        <v>1013.2495</v>
      </c>
      <c r="D20" s="20">
        <v>1.1000545418861063E-3</v>
      </c>
      <c r="E20" s="17">
        <v>7597.5</v>
      </c>
      <c r="F20" s="17">
        <v>2943.8670000000002</v>
      </c>
      <c r="G20" s="17">
        <v>1006.138</v>
      </c>
      <c r="H20" s="17">
        <v>1862.0435</v>
      </c>
      <c r="I20" s="18">
        <v>5.7999999999999996E-2</v>
      </c>
      <c r="J20" s="17">
        <v>823.66765000000009</v>
      </c>
      <c r="K20" s="17">
        <v>1011729</v>
      </c>
      <c r="M20" s="29">
        <v>1013.2495</v>
      </c>
      <c r="N20" s="28">
        <v>849.86081527544945</v>
      </c>
      <c r="O20" s="28">
        <v>163.38868472455056</v>
      </c>
    </row>
    <row r="21" spans="1:15" x14ac:dyDescent="0.35">
      <c r="A21">
        <v>1</v>
      </c>
      <c r="B21">
        <v>2009</v>
      </c>
      <c r="C21" s="35">
        <v>1014.264</v>
      </c>
      <c r="D21" s="20">
        <v>1.1000545418861063E-3</v>
      </c>
      <c r="E21" s="17">
        <v>7655</v>
      </c>
      <c r="F21" s="17">
        <v>3066.5279999999998</v>
      </c>
      <c r="G21" s="17">
        <v>1030.8789999999999</v>
      </c>
      <c r="H21" s="17">
        <v>1912.731</v>
      </c>
      <c r="I21" s="18">
        <v>5.7000000000000002E-2</v>
      </c>
      <c r="J21" s="17">
        <v>826.98750000000007</v>
      </c>
      <c r="K21" s="17">
        <v>1012235</v>
      </c>
      <c r="M21" s="29">
        <v>1014.264</v>
      </c>
      <c r="N21" s="28">
        <v>888.94651518849923</v>
      </c>
      <c r="O21" s="28">
        <v>125.31748481150078</v>
      </c>
    </row>
    <row r="22" spans="1:15" x14ac:dyDescent="0.35">
      <c r="A22">
        <v>2</v>
      </c>
      <c r="C22" s="35">
        <v>1017.8389999999999</v>
      </c>
      <c r="D22" s="20">
        <v>3.8764859410968578E-3</v>
      </c>
      <c r="E22" s="17">
        <v>7913</v>
      </c>
      <c r="F22" s="17">
        <v>3181.9349999999999</v>
      </c>
      <c r="G22" s="17">
        <v>1046.8205</v>
      </c>
      <c r="H22" s="17">
        <v>1966.2550000000001</v>
      </c>
      <c r="I22" s="18">
        <v>5.3999999999999999E-2</v>
      </c>
      <c r="J22" s="17">
        <v>829.23750000000007</v>
      </c>
      <c r="K22" s="17">
        <v>1013249.5</v>
      </c>
      <c r="M22" s="29">
        <v>1017.8389999999999</v>
      </c>
      <c r="N22" s="28">
        <v>1035.4914655800001</v>
      </c>
      <c r="O22" s="28">
        <v>-17.652465580000126</v>
      </c>
    </row>
    <row r="23" spans="1:15" x14ac:dyDescent="0.35">
      <c r="A23">
        <v>1</v>
      </c>
      <c r="B23">
        <v>2010</v>
      </c>
      <c r="C23" s="35">
        <v>1021.414</v>
      </c>
      <c r="D23" s="20">
        <v>3.876485941096981E-3</v>
      </c>
      <c r="E23" s="17">
        <v>8171</v>
      </c>
      <c r="F23" s="17">
        <v>3297.3420000000001</v>
      </c>
      <c r="G23" s="17">
        <v>1062.7619999999999</v>
      </c>
      <c r="H23" s="17">
        <v>2019.779</v>
      </c>
      <c r="I23" s="18">
        <v>5.0999999999999997E-2</v>
      </c>
      <c r="J23" s="17">
        <v>831.48750000000007</v>
      </c>
      <c r="K23" s="17">
        <v>1014264</v>
      </c>
      <c r="M23" s="29">
        <v>1021.414</v>
      </c>
      <c r="N23" s="28">
        <v>1182.0364159714995</v>
      </c>
      <c r="O23" s="28">
        <v>-160.62241597149955</v>
      </c>
    </row>
    <row r="24" spans="1:15" x14ac:dyDescent="0.35">
      <c r="A24">
        <v>2</v>
      </c>
      <c r="C24" s="35">
        <v>1027.617</v>
      </c>
      <c r="D24" s="20">
        <v>6.7261097322025652E-3</v>
      </c>
      <c r="E24" s="17">
        <v>8230.5</v>
      </c>
      <c r="F24" s="17">
        <v>3330.9884999999999</v>
      </c>
      <c r="G24" s="17">
        <v>1069.761</v>
      </c>
      <c r="H24" s="17">
        <v>2076.299</v>
      </c>
      <c r="I24" s="18">
        <v>5.1499999999999997E-2</v>
      </c>
      <c r="J24" s="17">
        <v>860.34525000000008</v>
      </c>
      <c r="K24" s="17">
        <v>1017839</v>
      </c>
      <c r="M24" s="29">
        <v>1027.617</v>
      </c>
      <c r="N24" s="28">
        <v>1136.9232031642505</v>
      </c>
      <c r="O24" s="28">
        <v>-109.30620316425052</v>
      </c>
    </row>
    <row r="25" spans="1:15" x14ac:dyDescent="0.35">
      <c r="A25">
        <v>1</v>
      </c>
      <c r="B25">
        <v>2011</v>
      </c>
      <c r="C25" s="35">
        <v>1033.82</v>
      </c>
      <c r="D25" s="20">
        <v>6.7261097322025652E-3</v>
      </c>
      <c r="E25" s="17">
        <v>8290</v>
      </c>
      <c r="F25" s="17">
        <v>3364.6350000000002</v>
      </c>
      <c r="G25" s="17">
        <v>1076.76</v>
      </c>
      <c r="H25" s="17">
        <v>2132.819</v>
      </c>
      <c r="I25" s="18">
        <v>5.1999999999999998E-2</v>
      </c>
      <c r="J25" s="17">
        <v>889.20299999999997</v>
      </c>
      <c r="K25" s="17">
        <v>1021414</v>
      </c>
      <c r="M25" s="29">
        <v>1033.82</v>
      </c>
      <c r="N25" s="28">
        <v>1091.8099903569996</v>
      </c>
      <c r="O25" s="28">
        <v>-57.98999035699967</v>
      </c>
    </row>
    <row r="26" spans="1:15" x14ac:dyDescent="0.35">
      <c r="A26">
        <v>2</v>
      </c>
      <c r="C26" s="35">
        <v>1677.2984999999999</v>
      </c>
      <c r="D26" s="20">
        <v>0.69774415626521447</v>
      </c>
      <c r="E26" s="17">
        <v>8566.5</v>
      </c>
      <c r="F26" s="17">
        <v>3368.7269999999999</v>
      </c>
      <c r="G26" s="17">
        <v>2201.241</v>
      </c>
      <c r="H26" s="17">
        <v>1809.223</v>
      </c>
      <c r="I26" s="18">
        <v>5.1999999999999998E-2</v>
      </c>
      <c r="J26" s="17">
        <v>930.33809999999994</v>
      </c>
      <c r="K26" s="17">
        <v>1027617</v>
      </c>
      <c r="M26" s="29">
        <v>1677.2984999999999</v>
      </c>
      <c r="N26" s="28">
        <v>1510.4539600643009</v>
      </c>
      <c r="O26" s="28">
        <v>166.844539935699</v>
      </c>
    </row>
    <row r="27" spans="1:15" x14ac:dyDescent="0.35">
      <c r="A27">
        <v>1</v>
      </c>
      <c r="B27">
        <v>2012</v>
      </c>
      <c r="C27" s="35">
        <v>2320.777</v>
      </c>
      <c r="D27" s="20">
        <v>0.69774415626521469</v>
      </c>
      <c r="E27" s="17">
        <v>8843</v>
      </c>
      <c r="F27" s="17">
        <v>3372.819</v>
      </c>
      <c r="G27" s="17">
        <v>3325.7220000000002</v>
      </c>
      <c r="H27" s="17">
        <v>1485.627</v>
      </c>
      <c r="I27" s="18">
        <v>5.1999999999999998E-2</v>
      </c>
      <c r="J27" s="17">
        <v>971.47320000000002</v>
      </c>
      <c r="K27" s="17">
        <v>1033820</v>
      </c>
      <c r="M27" s="29">
        <v>2320.777</v>
      </c>
      <c r="N27" s="28">
        <v>1929.097929771601</v>
      </c>
      <c r="O27" s="28">
        <v>391.67907022839904</v>
      </c>
    </row>
    <row r="28" spans="1:15" x14ac:dyDescent="0.35">
      <c r="A28">
        <v>2</v>
      </c>
      <c r="C28" s="35">
        <v>2215.1265000000003</v>
      </c>
      <c r="D28" s="20">
        <v>-0.11456018962793298</v>
      </c>
      <c r="E28" s="17">
        <v>9117</v>
      </c>
      <c r="F28" s="17">
        <v>3402.2170000000001</v>
      </c>
      <c r="G28" s="17">
        <v>3305.0745000000002</v>
      </c>
      <c r="H28" s="17">
        <v>897.17700000000002</v>
      </c>
      <c r="I28" s="18">
        <v>5.2499999999999998E-2</v>
      </c>
      <c r="J28" s="17">
        <v>985.5385</v>
      </c>
      <c r="K28" s="17">
        <v>1677298.5</v>
      </c>
      <c r="M28" s="29">
        <v>2215.1265000000003</v>
      </c>
      <c r="N28" s="28">
        <v>1911.0911122430002</v>
      </c>
      <c r="O28" s="28">
        <v>304.03538775700008</v>
      </c>
    </row>
    <row r="29" spans="1:15" x14ac:dyDescent="0.35">
      <c r="A29">
        <v>1</v>
      </c>
      <c r="B29">
        <v>2013</v>
      </c>
      <c r="C29" s="35">
        <v>2109.4760000000001</v>
      </c>
      <c r="D29" s="20">
        <v>-0.11456018962793346</v>
      </c>
      <c r="E29" s="17">
        <v>9391</v>
      </c>
      <c r="F29" s="17">
        <v>3431.6149999999998</v>
      </c>
      <c r="G29" s="17">
        <v>3284.4270000000001</v>
      </c>
      <c r="H29" s="17">
        <v>308.72699999999998</v>
      </c>
      <c r="I29" s="18">
        <v>5.2999999999999999E-2</v>
      </c>
      <c r="J29" s="17">
        <v>999.60379999999998</v>
      </c>
      <c r="K29" s="17">
        <v>2320777</v>
      </c>
      <c r="M29" s="29">
        <v>2109.4760000000001</v>
      </c>
      <c r="N29" s="28">
        <v>1893.0842947143997</v>
      </c>
      <c r="O29" s="28">
        <v>216.39170528560044</v>
      </c>
    </row>
    <row r="30" spans="1:15" x14ac:dyDescent="0.35">
      <c r="A30">
        <v>2</v>
      </c>
      <c r="C30" s="35">
        <v>1864.6534999999999</v>
      </c>
      <c r="D30" s="20">
        <v>-0.26546880540257467</v>
      </c>
      <c r="E30" s="17">
        <v>9749.5</v>
      </c>
      <c r="F30" s="17">
        <v>3103.2420000000002</v>
      </c>
      <c r="G30" s="17">
        <v>2743.681</v>
      </c>
      <c r="H30" s="17">
        <v>291.86200000000002</v>
      </c>
      <c r="I30" s="18">
        <v>5.45E-2</v>
      </c>
      <c r="J30" s="17">
        <v>1047.7221999999999</v>
      </c>
      <c r="K30" s="17">
        <v>2215126.5</v>
      </c>
      <c r="M30" s="29">
        <v>1864.6534999999999</v>
      </c>
      <c r="N30" s="28">
        <v>1692.5286482975996</v>
      </c>
      <c r="O30" s="28">
        <v>172.12485170240029</v>
      </c>
    </row>
    <row r="31" spans="1:15" x14ac:dyDescent="0.35">
      <c r="A31">
        <v>1</v>
      </c>
      <c r="B31">
        <v>2014</v>
      </c>
      <c r="C31" s="35">
        <v>1619.8309999999999</v>
      </c>
      <c r="D31" s="20">
        <v>-0.26546880540257439</v>
      </c>
      <c r="E31" s="17">
        <v>10108</v>
      </c>
      <c r="F31" s="17">
        <v>2774.8690000000001</v>
      </c>
      <c r="G31" s="17">
        <v>2202.9349999999999</v>
      </c>
      <c r="H31" s="17">
        <v>274.99700000000001</v>
      </c>
      <c r="I31" s="18">
        <v>5.6000000000000001E-2</v>
      </c>
      <c r="J31" s="17">
        <v>1095.8406</v>
      </c>
      <c r="K31" s="17">
        <v>2109476</v>
      </c>
      <c r="M31" s="29">
        <v>1619.8309999999999</v>
      </c>
      <c r="N31" s="28">
        <v>1491.9730018807995</v>
      </c>
      <c r="O31" s="28">
        <v>127.85799811920037</v>
      </c>
    </row>
    <row r="32" spans="1:15" x14ac:dyDescent="0.35">
      <c r="A32">
        <v>2</v>
      </c>
      <c r="C32" s="35">
        <v>1619.8305</v>
      </c>
      <c r="D32" s="20">
        <v>-5.4216586575158803E-7</v>
      </c>
      <c r="E32" s="17">
        <v>10751.5</v>
      </c>
      <c r="F32" s="17">
        <v>2988.4454999999998</v>
      </c>
      <c r="G32" s="17">
        <v>2030.7049999999999</v>
      </c>
      <c r="H32" s="17">
        <v>460.04199999999997</v>
      </c>
      <c r="I32" s="18">
        <v>5.5E-2</v>
      </c>
      <c r="J32" s="17">
        <v>1184.8105500000001</v>
      </c>
      <c r="K32" s="17">
        <v>1864653.5</v>
      </c>
      <c r="M32" s="29">
        <v>1619.8305</v>
      </c>
      <c r="N32" s="28">
        <v>1473.2547550611491</v>
      </c>
      <c r="O32" s="28">
        <v>146.5757449388509</v>
      </c>
    </row>
    <row r="33" spans="1:15" x14ac:dyDescent="0.35">
      <c r="A33">
        <v>1</v>
      </c>
      <c r="B33">
        <v>2015</v>
      </c>
      <c r="C33" s="35">
        <v>1619.83</v>
      </c>
      <c r="D33" s="20">
        <v>-5.4216586599813645E-7</v>
      </c>
      <c r="E33" s="17">
        <v>11395</v>
      </c>
      <c r="F33" s="17">
        <v>3202.0219999999999</v>
      </c>
      <c r="G33" s="17">
        <v>1858.4749999999999</v>
      </c>
      <c r="H33" s="17">
        <v>645.08699999999999</v>
      </c>
      <c r="I33" s="18">
        <v>5.3999999999999999E-2</v>
      </c>
      <c r="J33" s="17">
        <v>1273.7805000000001</v>
      </c>
      <c r="K33" s="17">
        <v>1619831</v>
      </c>
      <c r="M33" s="29">
        <v>1619.83</v>
      </c>
      <c r="N33" s="28">
        <v>1454.5365082415008</v>
      </c>
      <c r="O33" s="28">
        <v>165.29349175849916</v>
      </c>
    </row>
    <row r="34" spans="1:15" x14ac:dyDescent="0.35">
      <c r="A34">
        <v>2</v>
      </c>
      <c r="C34" s="35">
        <v>1472.271</v>
      </c>
      <c r="D34" s="20">
        <v>-0.16000290600904113</v>
      </c>
      <c r="E34" s="17">
        <v>11728</v>
      </c>
      <c r="F34" s="17">
        <v>2992.174</v>
      </c>
      <c r="G34" s="17">
        <v>2351.9140000000002</v>
      </c>
      <c r="H34" s="17">
        <v>596.84100000000001</v>
      </c>
      <c r="I34" s="18">
        <v>5.2000000000000005E-2</v>
      </c>
      <c r="J34" s="17">
        <v>1302.22605</v>
      </c>
      <c r="K34" s="17">
        <v>1619830.5</v>
      </c>
      <c r="M34" s="29">
        <v>1472.271</v>
      </c>
      <c r="N34" s="28">
        <v>1746.651674703651</v>
      </c>
      <c r="O34" s="28">
        <v>-274.38067470365104</v>
      </c>
    </row>
    <row r="35" spans="1:15" x14ac:dyDescent="0.35">
      <c r="A35">
        <v>1</v>
      </c>
      <c r="B35">
        <v>2016</v>
      </c>
      <c r="C35" s="35">
        <v>1324.712</v>
      </c>
      <c r="D35" s="20">
        <v>-0.16000290600904113</v>
      </c>
      <c r="E35" s="17">
        <v>12061</v>
      </c>
      <c r="F35" s="17">
        <v>2782.326</v>
      </c>
      <c r="G35" s="17">
        <v>2845.3530000000001</v>
      </c>
      <c r="H35" s="17">
        <v>548.59500000000003</v>
      </c>
      <c r="I35" s="18">
        <v>0.05</v>
      </c>
      <c r="J35" s="17">
        <v>1330.6715999999999</v>
      </c>
      <c r="K35" s="17">
        <v>1619830</v>
      </c>
      <c r="M35" s="29">
        <v>1324.712</v>
      </c>
      <c r="N35" s="28">
        <v>2038.7668411658005</v>
      </c>
      <c r="O35" s="28">
        <v>-714.05484116580055</v>
      </c>
    </row>
    <row r="36" spans="1:15" x14ac:dyDescent="0.35">
      <c r="A36">
        <v>2</v>
      </c>
      <c r="C36" s="35">
        <v>1471.453</v>
      </c>
      <c r="D36" s="20">
        <v>0.15911592265244889</v>
      </c>
      <c r="E36" s="17">
        <v>12123</v>
      </c>
      <c r="F36" s="17">
        <v>2662.3654999999999</v>
      </c>
      <c r="G36" s="17">
        <v>3085.5374999999999</v>
      </c>
      <c r="H36" s="17">
        <v>1017.111</v>
      </c>
      <c r="I36" s="18">
        <v>5.4000000000000006E-2</v>
      </c>
      <c r="J36" s="17">
        <v>1341.2867999999999</v>
      </c>
      <c r="K36" s="17">
        <v>1472271</v>
      </c>
      <c r="M36" s="29">
        <v>1471.453</v>
      </c>
      <c r="N36" s="28">
        <v>1923.6733289278995</v>
      </c>
      <c r="O36" s="28">
        <v>-452.22032892789957</v>
      </c>
    </row>
    <row r="37" spans="1:15" x14ac:dyDescent="0.35">
      <c r="A37">
        <v>1</v>
      </c>
      <c r="B37">
        <v>2017</v>
      </c>
      <c r="C37" s="35">
        <v>1618.194</v>
      </c>
      <c r="D37" s="20">
        <v>0.15911592265244889</v>
      </c>
      <c r="E37" s="17">
        <v>12185</v>
      </c>
      <c r="F37" s="17">
        <v>2542.4050000000002</v>
      </c>
      <c r="G37" s="17">
        <v>3325.7220000000002</v>
      </c>
      <c r="H37" s="17">
        <v>1485.627</v>
      </c>
      <c r="I37" s="18">
        <v>5.8000000000000003E-2</v>
      </c>
      <c r="J37" s="17">
        <v>1351.902</v>
      </c>
      <c r="K37" s="17">
        <v>1324712</v>
      </c>
      <c r="M37" s="29">
        <v>1618.194</v>
      </c>
      <c r="N37" s="28">
        <v>1808.5798166900006</v>
      </c>
      <c r="O37" s="28">
        <v>-190.38581669000064</v>
      </c>
    </row>
    <row r="38" spans="1:15" x14ac:dyDescent="0.35">
      <c r="A38">
        <v>2</v>
      </c>
      <c r="C38" s="35">
        <v>1281.8630000000001</v>
      </c>
      <c r="D38" s="20">
        <v>-0.36469437567974033</v>
      </c>
      <c r="E38" s="17">
        <v>12494.5</v>
      </c>
      <c r="F38" s="17">
        <v>1874.837</v>
      </c>
      <c r="G38" s="17">
        <v>2365.2804999999998</v>
      </c>
      <c r="H38" s="17">
        <v>1636.4635000000001</v>
      </c>
      <c r="I38" s="18">
        <v>5.7500000000000002E-2</v>
      </c>
      <c r="J38" s="17">
        <v>1413.0531000000001</v>
      </c>
      <c r="K38" s="17">
        <v>1471453</v>
      </c>
      <c r="M38" s="29">
        <v>1281.8630000000001</v>
      </c>
      <c r="N38" s="28">
        <v>1509.2965715978005</v>
      </c>
      <c r="O38" s="28">
        <v>-227.43357159780044</v>
      </c>
    </row>
    <row r="39" spans="1:15" x14ac:dyDescent="0.35">
      <c r="A39">
        <v>1</v>
      </c>
      <c r="B39">
        <v>2018</v>
      </c>
      <c r="C39" s="35">
        <v>945.53200000000004</v>
      </c>
      <c r="D39" s="20">
        <v>-0.3646943756797405</v>
      </c>
      <c r="E39" s="17">
        <v>12804</v>
      </c>
      <c r="F39" s="17">
        <v>1207.269</v>
      </c>
      <c r="G39" s="17">
        <v>1404.8389999999999</v>
      </c>
      <c r="H39" s="17">
        <v>1787.3</v>
      </c>
      <c r="I39" s="18">
        <v>5.7000000000000002E-2</v>
      </c>
      <c r="J39" s="17">
        <v>1474.2042000000001</v>
      </c>
      <c r="K39" s="17">
        <v>1618194</v>
      </c>
      <c r="M39" s="29">
        <v>945.53200000000004</v>
      </c>
      <c r="N39" s="28">
        <v>1210.0133265056006</v>
      </c>
      <c r="O39" s="28">
        <v>-264.48132650560058</v>
      </c>
    </row>
    <row r="40" spans="1:15" x14ac:dyDescent="0.35">
      <c r="A40">
        <v>2</v>
      </c>
      <c r="C40" s="35">
        <v>1569.7485000000001</v>
      </c>
      <c r="D40" s="20">
        <v>0.67685775844775753</v>
      </c>
      <c r="E40" s="17">
        <v>12847.5</v>
      </c>
      <c r="F40" s="17">
        <v>779.55849999999998</v>
      </c>
      <c r="G40" s="17">
        <v>1253.7245</v>
      </c>
      <c r="H40" s="17">
        <v>1564.932</v>
      </c>
      <c r="I40" s="18">
        <v>5.3500000000000006E-2</v>
      </c>
      <c r="J40" s="17">
        <v>1463.1666500000001</v>
      </c>
      <c r="K40" s="17">
        <v>1281863</v>
      </c>
      <c r="M40" s="29">
        <v>1569.7485000000001</v>
      </c>
      <c r="N40" s="28">
        <v>1422.5247047239495</v>
      </c>
      <c r="O40" s="28">
        <v>147.22379527605062</v>
      </c>
    </row>
    <row r="41" spans="1:15" x14ac:dyDescent="0.35">
      <c r="A41">
        <v>1</v>
      </c>
      <c r="B41">
        <v>2019</v>
      </c>
      <c r="C41" s="35">
        <v>2193.9650000000001</v>
      </c>
      <c r="D41" s="20">
        <v>0.67685775844775742</v>
      </c>
      <c r="E41" s="17">
        <v>12891</v>
      </c>
      <c r="F41" s="17">
        <v>351.84800000000001</v>
      </c>
      <c r="G41" s="17">
        <v>1102.6099999999999</v>
      </c>
      <c r="H41" s="17">
        <v>1342.5640000000001</v>
      </c>
      <c r="I41" s="18">
        <v>0.05</v>
      </c>
      <c r="J41" s="17">
        <v>1452.1290999999999</v>
      </c>
      <c r="K41" s="17">
        <v>945532</v>
      </c>
      <c r="M41" s="29">
        <v>2193.9650000000001</v>
      </c>
      <c r="N41" s="28">
        <v>1635.0360829423</v>
      </c>
      <c r="O41" s="28">
        <v>558.92891705770012</v>
      </c>
    </row>
    <row r="42" spans="1:15" x14ac:dyDescent="0.35">
      <c r="A42">
        <v>2</v>
      </c>
      <c r="C42" s="35">
        <v>1813.3120725000001</v>
      </c>
      <c r="D42" s="20">
        <v>-0.41275404808143767</v>
      </c>
      <c r="E42" s="17">
        <v>13013.5</v>
      </c>
      <c r="F42" s="17">
        <v>1815.03</v>
      </c>
      <c r="G42" s="17">
        <v>1167.7145</v>
      </c>
      <c r="H42" s="17">
        <v>1288.5965000000001</v>
      </c>
      <c r="I42" s="18">
        <v>0.05</v>
      </c>
      <c r="J42" s="17">
        <v>1457.9535000000001</v>
      </c>
      <c r="K42" s="17">
        <v>1569748.5</v>
      </c>
      <c r="M42" s="29">
        <v>1813.3120725000001</v>
      </c>
      <c r="N42" s="28">
        <v>1479.7203496109994</v>
      </c>
      <c r="O42" s="28">
        <v>333.59172288900072</v>
      </c>
    </row>
    <row r="43" spans="1:15" x14ac:dyDescent="0.35">
      <c r="A43">
        <v>1</v>
      </c>
      <c r="B43">
        <v>2020</v>
      </c>
      <c r="C43" s="35">
        <v>1432.6591450000001</v>
      </c>
      <c r="D43" s="20">
        <v>-0.41275404808143767</v>
      </c>
      <c r="E43" s="17">
        <v>13136</v>
      </c>
      <c r="F43" s="17">
        <v>3278.212</v>
      </c>
      <c r="G43" s="17">
        <v>1232.819</v>
      </c>
      <c r="H43" s="17">
        <v>1234.6289999999999</v>
      </c>
      <c r="I43" s="18">
        <v>0.05</v>
      </c>
      <c r="J43" s="17">
        <v>1463.7779</v>
      </c>
      <c r="K43" s="17">
        <v>2193965</v>
      </c>
      <c r="M43" s="29">
        <v>1432.6591450000001</v>
      </c>
      <c r="N43" s="28">
        <v>1324.404616279699</v>
      </c>
      <c r="O43" s="28">
        <v>108.2545287203011</v>
      </c>
    </row>
    <row r="44" spans="1:15" x14ac:dyDescent="0.35">
      <c r="A44">
        <v>2</v>
      </c>
      <c r="C44" s="35">
        <v>1622.9856087500002</v>
      </c>
      <c r="D44" s="20">
        <v>0.20637702404071898</v>
      </c>
      <c r="E44" s="17">
        <v>13074.75</v>
      </c>
      <c r="F44" s="17">
        <v>2546.6210000000001</v>
      </c>
      <c r="G44" s="17">
        <v>1200.26675</v>
      </c>
      <c r="H44" s="17">
        <v>1261.61275</v>
      </c>
      <c r="I44" s="18">
        <v>0.05</v>
      </c>
      <c r="J44" s="17">
        <v>1460.8657000000001</v>
      </c>
      <c r="K44" s="17">
        <v>1813312.0725</v>
      </c>
      <c r="M44" s="29">
        <v>1622.9856087500002</v>
      </c>
      <c r="N44" s="28">
        <v>1410.4934782778503</v>
      </c>
      <c r="O44" s="28">
        <v>212.49213047214994</v>
      </c>
    </row>
    <row r="45" spans="1:15" x14ac:dyDescent="0.35">
      <c r="A45">
        <v>1</v>
      </c>
      <c r="B45">
        <v>2021</v>
      </c>
      <c r="C45" s="35">
        <v>1779.1902879007</v>
      </c>
      <c r="D45" s="20">
        <v>0.16937769025489366</v>
      </c>
      <c r="E45" s="17">
        <v>12928.1759581882</v>
      </c>
      <c r="F45" s="17">
        <v>2678.2763623693399</v>
      </c>
      <c r="G45" s="17">
        <v>2354.2684976771197</v>
      </c>
      <c r="H45" s="17">
        <v>1153.28751277584</v>
      </c>
      <c r="I45" s="18">
        <v>5.2487804878048799E-2</v>
      </c>
      <c r="J45" s="17">
        <v>1440.5019531939599</v>
      </c>
      <c r="K45" s="17">
        <v>1432659.145</v>
      </c>
      <c r="M45" s="29">
        <v>1779.1902879007</v>
      </c>
      <c r="N45" s="28">
        <v>1744.9046811879082</v>
      </c>
      <c r="O45" s="28">
        <v>34.285606712791832</v>
      </c>
    </row>
    <row r="46" spans="1:15" x14ac:dyDescent="0.35">
      <c r="A46">
        <v>2</v>
      </c>
      <c r="C46" s="35">
        <v>1801.39945209292</v>
      </c>
      <c r="D46" s="20">
        <v>2.4082101469833337E-2</v>
      </c>
      <c r="E46" s="17">
        <v>13099.277996110501</v>
      </c>
      <c r="F46" s="17">
        <v>2688.0218161008002</v>
      </c>
      <c r="G46" s="17">
        <v>2393.7378361626597</v>
      </c>
      <c r="H46" s="17">
        <v>1143.9187993612102</v>
      </c>
      <c r="I46" s="18">
        <v>5.2410825702941401E-2</v>
      </c>
      <c r="J46" s="17">
        <v>1460.46828152635</v>
      </c>
      <c r="K46" s="17">
        <v>1622985.6087500001</v>
      </c>
      <c r="M46" s="29">
        <v>1801.39945209292</v>
      </c>
      <c r="N46" s="28">
        <v>1743.2133357736645</v>
      </c>
      <c r="O46" s="28">
        <v>58.186116319255461</v>
      </c>
    </row>
    <row r="47" spans="1:15" x14ac:dyDescent="0.35">
      <c r="A47">
        <v>1</v>
      </c>
      <c r="B47">
        <v>2022</v>
      </c>
      <c r="C47" s="35">
        <v>1823.60861628515</v>
      </c>
      <c r="D47" s="20">
        <v>2.4082101469844183E-2</v>
      </c>
      <c r="E47" s="17">
        <v>13270.3800340329</v>
      </c>
      <c r="F47" s="17">
        <v>2697.7672698322704</v>
      </c>
      <c r="G47" s="17">
        <v>2433.2071746482002</v>
      </c>
      <c r="H47" s="17">
        <v>1134.5500859465699</v>
      </c>
      <c r="I47" s="18">
        <v>5.2333846527834099E-2</v>
      </c>
      <c r="J47" s="17">
        <v>1480.43460985874</v>
      </c>
      <c r="K47" s="17">
        <v>1779190.2879007</v>
      </c>
      <c r="M47" s="29">
        <v>1823.60861628515</v>
      </c>
      <c r="N47" s="28">
        <v>1745.7189698651448</v>
      </c>
      <c r="O47" s="28">
        <v>77.889646420005192</v>
      </c>
    </row>
    <row r="48" spans="1:15" x14ac:dyDescent="0.35">
      <c r="A48">
        <v>2</v>
      </c>
      <c r="C48" s="35">
        <v>1845.81778047737</v>
      </c>
      <c r="D48" s="20">
        <v>2.4082101469833337E-2</v>
      </c>
      <c r="E48" s="17">
        <v>13441.482071955301</v>
      </c>
      <c r="F48" s="17">
        <v>2707.5127235637297</v>
      </c>
      <c r="G48" s="17">
        <v>2472.6765131337297</v>
      </c>
      <c r="H48" s="17">
        <v>1125.18137253194</v>
      </c>
      <c r="I48" s="18">
        <v>5.2256867352726701E-2</v>
      </c>
      <c r="J48" s="17">
        <v>1500.4009381911201</v>
      </c>
      <c r="K48" s="17">
        <v>1801399.45209292</v>
      </c>
      <c r="M48" s="29">
        <v>1845.81778047737</v>
      </c>
      <c r="N48" s="28">
        <v>1764.706052296526</v>
      </c>
      <c r="O48" s="28">
        <v>81.111728180844011</v>
      </c>
    </row>
    <row r="49" spans="2:16" x14ac:dyDescent="0.35">
      <c r="B49" s="37">
        <v>2023</v>
      </c>
      <c r="C49" s="35">
        <v>1868.02694466959</v>
      </c>
      <c r="D49" s="18">
        <v>1.2032154217561063E-2</v>
      </c>
      <c r="E49" s="17"/>
      <c r="F49" s="17"/>
      <c r="G49" s="17"/>
      <c r="H49" s="17"/>
      <c r="I49" s="18"/>
      <c r="J49" s="17"/>
      <c r="K49" s="17"/>
      <c r="M49" s="29" t="e">
        <v>#REF!</v>
      </c>
      <c r="N49" s="28">
        <v>3264.4839999999999</v>
      </c>
      <c r="O49" s="28" t="e">
        <v>#REF!</v>
      </c>
    </row>
    <row r="50" spans="2:16" x14ac:dyDescent="0.35">
      <c r="B50" s="37">
        <v>2024</v>
      </c>
      <c r="C50" s="35">
        <v>1890.23610886182</v>
      </c>
      <c r="D50" s="18">
        <v>1.1889102700367242E-2</v>
      </c>
      <c r="N50" t="s">
        <v>315</v>
      </c>
      <c r="O50" s="28">
        <v>308.5568100324972</v>
      </c>
      <c r="P50">
        <v>308.5568100324972</v>
      </c>
    </row>
    <row r="51" spans="2:16" x14ac:dyDescent="0.35">
      <c r="B51" s="37">
        <v>2025</v>
      </c>
      <c r="C51" s="35">
        <v>1912.4452730540399</v>
      </c>
      <c r="D51" s="18">
        <v>1.1749412725795898E-2</v>
      </c>
      <c r="N51" t="s">
        <v>316</v>
      </c>
      <c r="O51" s="28">
        <v>-33.521781839488014</v>
      </c>
      <c r="P51">
        <v>33.521781839488014</v>
      </c>
    </row>
    <row r="52" spans="2:16" x14ac:dyDescent="0.35">
      <c r="B52" s="37">
        <v>2026</v>
      </c>
      <c r="C52" s="35">
        <v>1934.6544372462699</v>
      </c>
      <c r="D52" s="18">
        <v>1.1612967181415615E-2</v>
      </c>
      <c r="N52" t="s">
        <v>331</v>
      </c>
      <c r="P52">
        <v>5.7897998099664907</v>
      </c>
    </row>
    <row r="53" spans="2:16" x14ac:dyDescent="0.35">
      <c r="B53" s="37">
        <v>2027</v>
      </c>
      <c r="C53" s="35">
        <v>1956.8636014384999</v>
      </c>
      <c r="D53" s="18">
        <v>1.1479654332399464E-2</v>
      </c>
      <c r="F53" t="s">
        <v>89</v>
      </c>
      <c r="G53">
        <v>0.125528</v>
      </c>
    </row>
    <row r="54" spans="2:16" x14ac:dyDescent="0.35">
      <c r="B54" s="37"/>
      <c r="C54" s="35"/>
      <c r="D54" s="16">
        <v>2.1204841632086552E-2</v>
      </c>
      <c r="F54" t="s">
        <v>90</v>
      </c>
      <c r="G54">
        <v>-8.0271999999999996E-2</v>
      </c>
    </row>
    <row r="55" spans="2:16" x14ac:dyDescent="0.35">
      <c r="B55" s="37"/>
      <c r="C55" s="35"/>
      <c r="D55" s="20"/>
      <c r="F55" t="s">
        <v>91</v>
      </c>
      <c r="G55">
        <v>0.33930500000000002</v>
      </c>
    </row>
    <row r="56" spans="2:16" x14ac:dyDescent="0.35">
      <c r="B56" s="37"/>
      <c r="C56" s="35"/>
      <c r="D56" s="20"/>
      <c r="F56" t="s">
        <v>92</v>
      </c>
      <c r="G56">
        <v>-0.11713800000000001</v>
      </c>
    </row>
    <row r="57" spans="2:16" x14ac:dyDescent="0.35">
      <c r="B57" s="37"/>
      <c r="C57" s="35"/>
      <c r="D57" s="20"/>
      <c r="F57" t="s">
        <v>93</v>
      </c>
      <c r="G57">
        <v>-42096.95</v>
      </c>
    </row>
    <row r="58" spans="2:16" x14ac:dyDescent="0.35">
      <c r="B58" s="37"/>
      <c r="C58" s="35"/>
      <c r="D58" s="20"/>
      <c r="F58" t="s">
        <v>94</v>
      </c>
      <c r="G58">
        <v>-0.83676700000000004</v>
      </c>
    </row>
    <row r="59" spans="2:16" x14ac:dyDescent="0.35">
      <c r="F59" t="s">
        <v>95</v>
      </c>
      <c r="G59">
        <v>-1.2300000000000001E-4</v>
      </c>
    </row>
    <row r="61" spans="2:16" x14ac:dyDescent="0.35">
      <c r="F61" t="s">
        <v>326</v>
      </c>
      <c r="G61">
        <v>3264.4839999999999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7D32-5F7D-4A71-8DED-654BBAB18779}">
  <dimension ref="A1:C52"/>
  <sheetViews>
    <sheetView workbookViewId="0">
      <selection activeCell="N49" sqref="N49"/>
    </sheetView>
  </sheetViews>
  <sheetFormatPr defaultRowHeight="14.5" x14ac:dyDescent="0.35"/>
  <cols>
    <col min="3" max="3" width="9.08984375" bestFit="1" customWidth="1"/>
  </cols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>
        <f>'Persamaan NI 3'!C3</f>
        <v>922.22699999999998</v>
      </c>
      <c r="C2" s="28">
        <f>'Persamaan NI 3'!N3</f>
        <v>964.69838681639976</v>
      </c>
    </row>
    <row r="3" spans="1:3" x14ac:dyDescent="0.35">
      <c r="A3">
        <v>2000</v>
      </c>
      <c r="B3">
        <f>'Persamaan NI 3'!C4</f>
        <v>942.44299999999998</v>
      </c>
      <c r="C3" s="28">
        <f>'Persamaan NI 3'!N4</f>
        <v>1154.9996508151503</v>
      </c>
    </row>
    <row r="4" spans="1:3" x14ac:dyDescent="0.35">
      <c r="A4">
        <v>2001</v>
      </c>
      <c r="B4">
        <f>'Persamaan NI 3'!C5</f>
        <v>962.65899999999999</v>
      </c>
      <c r="C4" s="28">
        <f>'Persamaan NI 3'!N5</f>
        <v>1119.5745128138999</v>
      </c>
    </row>
    <row r="5" spans="1:3" x14ac:dyDescent="0.35">
      <c r="A5">
        <v>2001</v>
      </c>
      <c r="B5">
        <f>'Persamaan NI 3'!C6</f>
        <v>968.505</v>
      </c>
      <c r="C5" s="28">
        <f>'Persamaan NI 3'!N6</f>
        <v>1107.4745014314497</v>
      </c>
    </row>
    <row r="6" spans="1:3" x14ac:dyDescent="0.35">
      <c r="A6">
        <v>2002</v>
      </c>
      <c r="B6">
        <f>'Persamaan NI 3'!C7</f>
        <v>974.351</v>
      </c>
      <c r="C6" s="28">
        <f>'Persamaan NI 3'!N7</f>
        <v>1095.3744900490005</v>
      </c>
    </row>
    <row r="7" spans="1:3" x14ac:dyDescent="0.35">
      <c r="A7">
        <v>2002</v>
      </c>
      <c r="B7">
        <f>'Persamaan NI 3'!C8</f>
        <v>977.78500000000008</v>
      </c>
      <c r="C7" s="28">
        <f>'Persamaan NI 3'!N8</f>
        <v>1066.3777814095492</v>
      </c>
    </row>
    <row r="8" spans="1:3" x14ac:dyDescent="0.35">
      <c r="A8">
        <v>2003</v>
      </c>
      <c r="B8">
        <f>'Persamaan NI 3'!C9</f>
        <v>981.21900000000005</v>
      </c>
      <c r="C8" s="28">
        <f>'Persamaan NI 3'!N9</f>
        <v>1037.3810727701</v>
      </c>
    </row>
    <row r="9" spans="1:3" x14ac:dyDescent="0.35">
      <c r="A9">
        <v>2003</v>
      </c>
      <c r="B9">
        <f>'Persamaan NI 3'!C10</f>
        <v>986.17499999999995</v>
      </c>
      <c r="C9" s="28">
        <f>'Persamaan NI 3'!N10</f>
        <v>1072.1731417178494</v>
      </c>
    </row>
    <row r="10" spans="1:3" x14ac:dyDescent="0.35">
      <c r="A10">
        <v>2004</v>
      </c>
      <c r="B10">
        <f>'Persamaan NI 3'!C11</f>
        <v>991.13099999999997</v>
      </c>
      <c r="C10" s="28">
        <f>'Persamaan NI 3'!N11</f>
        <v>1106.9652106656004</v>
      </c>
    </row>
    <row r="11" spans="1:3" x14ac:dyDescent="0.35">
      <c r="A11">
        <v>2004</v>
      </c>
      <c r="B11">
        <f>'Persamaan NI 3'!C12</f>
        <v>995.12750000000005</v>
      </c>
      <c r="C11" s="28">
        <f>'Persamaan NI 3'!N12</f>
        <v>1033.2698312866996</v>
      </c>
    </row>
    <row r="12" spans="1:3" x14ac:dyDescent="0.35">
      <c r="A12">
        <v>2005</v>
      </c>
      <c r="B12">
        <f>'Persamaan NI 3'!C13</f>
        <v>999.12400000000002</v>
      </c>
      <c r="C12" s="28">
        <f>'Persamaan NI 3'!N13</f>
        <v>959.57445190779947</v>
      </c>
    </row>
    <row r="13" spans="1:3" x14ac:dyDescent="0.35">
      <c r="A13">
        <v>2005</v>
      </c>
      <c r="B13">
        <f>'Persamaan NI 3'!C14</f>
        <v>1001.634</v>
      </c>
      <c r="C13" s="28">
        <f>'Persamaan NI 3'!N14</f>
        <v>981.68748827630009</v>
      </c>
    </row>
    <row r="14" spans="1:3" x14ac:dyDescent="0.35">
      <c r="A14">
        <v>2006</v>
      </c>
      <c r="B14">
        <f>'Persamaan NI 3'!C15</f>
        <v>1004.144</v>
      </c>
      <c r="C14" s="28">
        <f>'Persamaan NI 3'!N15</f>
        <v>1003.8005246447998</v>
      </c>
    </row>
    <row r="15" spans="1:3" x14ac:dyDescent="0.35">
      <c r="A15">
        <v>2006</v>
      </c>
      <c r="B15">
        <f>'Persamaan NI 3'!C16</f>
        <v>1007.6835</v>
      </c>
      <c r="C15" s="28">
        <f>'Persamaan NI 3'!N16</f>
        <v>1037.4926939832005</v>
      </c>
    </row>
    <row r="16" spans="1:3" x14ac:dyDescent="0.35">
      <c r="A16">
        <v>2007</v>
      </c>
      <c r="B16">
        <f>'Persamaan NI 3'!C17</f>
        <v>1011.223</v>
      </c>
      <c r="C16" s="28">
        <f>'Persamaan NI 3'!N17</f>
        <v>1071.1848633216007</v>
      </c>
    </row>
    <row r="17" spans="1:3" x14ac:dyDescent="0.35">
      <c r="A17">
        <v>2007</v>
      </c>
      <c r="B17">
        <f>'Persamaan NI 3'!C18</f>
        <v>1011.729</v>
      </c>
      <c r="C17" s="28">
        <f>'Persamaan NI 3'!N18</f>
        <v>940.97998934200075</v>
      </c>
    </row>
    <row r="18" spans="1:3" x14ac:dyDescent="0.35">
      <c r="A18">
        <v>2008</v>
      </c>
      <c r="B18">
        <f>'Persamaan NI 3'!C19</f>
        <v>1012.235</v>
      </c>
      <c r="C18" s="28">
        <f>'Persamaan NI 3'!N19</f>
        <v>810.77511536240013</v>
      </c>
    </row>
    <row r="19" spans="1:3" x14ac:dyDescent="0.35">
      <c r="A19">
        <v>2008</v>
      </c>
      <c r="B19">
        <f>'Persamaan NI 3'!C20</f>
        <v>1013.2495</v>
      </c>
      <c r="C19" s="28">
        <f>'Persamaan NI 3'!N20</f>
        <v>849.86081527544945</v>
      </c>
    </row>
    <row r="20" spans="1:3" x14ac:dyDescent="0.35">
      <c r="A20">
        <v>2009</v>
      </c>
      <c r="B20">
        <f>'Persamaan NI 3'!C21</f>
        <v>1014.264</v>
      </c>
      <c r="C20" s="28">
        <f>'Persamaan NI 3'!N21</f>
        <v>888.94651518849923</v>
      </c>
    </row>
    <row r="21" spans="1:3" x14ac:dyDescent="0.35">
      <c r="A21">
        <v>2009</v>
      </c>
      <c r="B21">
        <f>'Persamaan NI 3'!C22</f>
        <v>1017.8389999999999</v>
      </c>
      <c r="C21" s="28">
        <f>'Persamaan NI 3'!N22</f>
        <v>1035.4914655800001</v>
      </c>
    </row>
    <row r="22" spans="1:3" x14ac:dyDescent="0.35">
      <c r="A22">
        <v>2010</v>
      </c>
      <c r="B22">
        <f>'Persamaan NI 3'!C23</f>
        <v>1021.414</v>
      </c>
      <c r="C22" s="28">
        <f>'Persamaan NI 3'!N23</f>
        <v>1182.0364159714995</v>
      </c>
    </row>
    <row r="23" spans="1:3" x14ac:dyDescent="0.35">
      <c r="A23">
        <v>2010</v>
      </c>
      <c r="B23">
        <f>'Persamaan NI 3'!C24</f>
        <v>1027.617</v>
      </c>
      <c r="C23" s="28">
        <f>'Persamaan NI 3'!N24</f>
        <v>1136.9232031642505</v>
      </c>
    </row>
    <row r="24" spans="1:3" x14ac:dyDescent="0.35">
      <c r="A24">
        <v>2011</v>
      </c>
      <c r="B24">
        <f>'Persamaan NI 3'!C25</f>
        <v>1033.82</v>
      </c>
      <c r="C24" s="28">
        <f>'Persamaan NI 3'!N25</f>
        <v>1091.8099903569996</v>
      </c>
    </row>
    <row r="25" spans="1:3" x14ac:dyDescent="0.35">
      <c r="A25">
        <v>2011</v>
      </c>
      <c r="B25">
        <f>'Persamaan NI 3'!C26</f>
        <v>1677.2984999999999</v>
      </c>
      <c r="C25" s="28">
        <f>'Persamaan NI 3'!N26</f>
        <v>1510.4539600643009</v>
      </c>
    </row>
    <row r="26" spans="1:3" x14ac:dyDescent="0.35">
      <c r="A26">
        <v>2012</v>
      </c>
      <c r="B26">
        <f>'Persamaan NI 3'!C27</f>
        <v>2320.777</v>
      </c>
      <c r="C26" s="28">
        <f>'Persamaan NI 3'!N27</f>
        <v>1929.097929771601</v>
      </c>
    </row>
    <row r="27" spans="1:3" x14ac:dyDescent="0.35">
      <c r="A27">
        <v>2012</v>
      </c>
      <c r="B27">
        <f>'Persamaan NI 3'!C28</f>
        <v>2215.1265000000003</v>
      </c>
      <c r="C27" s="28">
        <f>'Persamaan NI 3'!N28</f>
        <v>1911.0911122430002</v>
      </c>
    </row>
    <row r="28" spans="1:3" x14ac:dyDescent="0.35">
      <c r="A28">
        <v>2013</v>
      </c>
      <c r="B28">
        <f>'Persamaan NI 3'!C29</f>
        <v>2109.4760000000001</v>
      </c>
      <c r="C28" s="28">
        <f>'Persamaan NI 3'!N29</f>
        <v>1893.0842947143997</v>
      </c>
    </row>
    <row r="29" spans="1:3" x14ac:dyDescent="0.35">
      <c r="A29">
        <v>2013</v>
      </c>
      <c r="B29">
        <f>'Persamaan NI 3'!C30</f>
        <v>1864.6534999999999</v>
      </c>
      <c r="C29" s="28">
        <f>'Persamaan NI 3'!N30</f>
        <v>1692.5286482975996</v>
      </c>
    </row>
    <row r="30" spans="1:3" x14ac:dyDescent="0.35">
      <c r="A30">
        <v>2014</v>
      </c>
      <c r="B30">
        <f>'Persamaan NI 3'!C31</f>
        <v>1619.8309999999999</v>
      </c>
      <c r="C30" s="28">
        <f>'Persamaan NI 3'!N31</f>
        <v>1491.9730018807995</v>
      </c>
    </row>
    <row r="31" spans="1:3" x14ac:dyDescent="0.35">
      <c r="A31">
        <v>2014</v>
      </c>
      <c r="B31">
        <f>'Persamaan NI 3'!C32</f>
        <v>1619.8305</v>
      </c>
      <c r="C31" s="28">
        <f>'Persamaan NI 3'!N32</f>
        <v>1473.2547550611491</v>
      </c>
    </row>
    <row r="32" spans="1:3" x14ac:dyDescent="0.35">
      <c r="A32">
        <v>2015</v>
      </c>
      <c r="B32">
        <f>'Persamaan NI 3'!C33</f>
        <v>1619.83</v>
      </c>
      <c r="C32" s="28">
        <f>'Persamaan NI 3'!N33</f>
        <v>1454.5365082415008</v>
      </c>
    </row>
    <row r="33" spans="1:3" x14ac:dyDescent="0.35">
      <c r="A33">
        <v>2015</v>
      </c>
      <c r="B33">
        <f>'Persamaan NI 3'!C34</f>
        <v>1472.271</v>
      </c>
      <c r="C33" s="28">
        <f>'Persamaan NI 3'!N34</f>
        <v>1746.651674703651</v>
      </c>
    </row>
    <row r="34" spans="1:3" x14ac:dyDescent="0.35">
      <c r="A34">
        <v>2016</v>
      </c>
      <c r="B34">
        <f>'Persamaan NI 3'!C35</f>
        <v>1324.712</v>
      </c>
      <c r="C34" s="28">
        <f>'Persamaan NI 3'!N35</f>
        <v>2038.7668411658005</v>
      </c>
    </row>
    <row r="35" spans="1:3" x14ac:dyDescent="0.35">
      <c r="A35">
        <v>2016</v>
      </c>
      <c r="B35">
        <f>'Persamaan NI 3'!C36</f>
        <v>1471.453</v>
      </c>
      <c r="C35" s="28">
        <f>'Persamaan NI 3'!N36</f>
        <v>1923.6733289278995</v>
      </c>
    </row>
    <row r="36" spans="1:3" x14ac:dyDescent="0.35">
      <c r="A36">
        <v>2017</v>
      </c>
      <c r="B36">
        <f>'Persamaan NI 3'!C37</f>
        <v>1618.194</v>
      </c>
      <c r="C36" s="28">
        <f>'Persamaan NI 3'!N37</f>
        <v>1808.5798166900006</v>
      </c>
    </row>
    <row r="37" spans="1:3" x14ac:dyDescent="0.35">
      <c r="A37">
        <v>2017</v>
      </c>
      <c r="B37">
        <f>'Persamaan NI 3'!C38</f>
        <v>1281.8630000000001</v>
      </c>
      <c r="C37" s="28">
        <f>'Persamaan NI 3'!N38</f>
        <v>1509.2965715978005</v>
      </c>
    </row>
    <row r="38" spans="1:3" x14ac:dyDescent="0.35">
      <c r="A38">
        <v>2018</v>
      </c>
      <c r="B38">
        <f>'Persamaan NI 3'!C39</f>
        <v>945.53200000000004</v>
      </c>
      <c r="C38" s="28">
        <f>'Persamaan NI 3'!N39</f>
        <v>1210.0133265056006</v>
      </c>
    </row>
    <row r="39" spans="1:3" x14ac:dyDescent="0.35">
      <c r="A39">
        <v>2018</v>
      </c>
      <c r="B39">
        <f>'Persamaan NI 3'!C40</f>
        <v>1569.7485000000001</v>
      </c>
      <c r="C39" s="28">
        <f>'Persamaan NI 3'!N40</f>
        <v>1422.5247047239495</v>
      </c>
    </row>
    <row r="40" spans="1:3" x14ac:dyDescent="0.35">
      <c r="A40">
        <v>2019</v>
      </c>
      <c r="B40">
        <f>'Persamaan NI 3'!C41</f>
        <v>2193.9650000000001</v>
      </c>
      <c r="C40" s="28">
        <f>'Persamaan NI 3'!N41</f>
        <v>1635.0360829423</v>
      </c>
    </row>
    <row r="41" spans="1:3" x14ac:dyDescent="0.35">
      <c r="A41">
        <v>2019</v>
      </c>
      <c r="B41">
        <f>'Persamaan NI 3'!C42</f>
        <v>1813.3120725000001</v>
      </c>
      <c r="C41" s="28">
        <f>'Persamaan NI 3'!N42</f>
        <v>1479.7203496109994</v>
      </c>
    </row>
    <row r="42" spans="1:3" x14ac:dyDescent="0.35">
      <c r="A42">
        <v>2020</v>
      </c>
      <c r="B42">
        <f>'Persamaan NI 3'!C43</f>
        <v>1432.6591450000001</v>
      </c>
      <c r="C42" s="28">
        <f>'Persamaan NI 3'!N43</f>
        <v>1324.404616279699</v>
      </c>
    </row>
    <row r="43" spans="1:3" x14ac:dyDescent="0.35">
      <c r="A43">
        <v>2020</v>
      </c>
      <c r="B43">
        <f>'Persamaan NI 3'!C44</f>
        <v>1622.9856087500002</v>
      </c>
      <c r="C43" s="28">
        <f>'Persamaan NI 3'!N44</f>
        <v>1410.4934782778503</v>
      </c>
    </row>
    <row r="44" spans="1:3" x14ac:dyDescent="0.35">
      <c r="A44">
        <v>2021</v>
      </c>
      <c r="B44">
        <f>'Persamaan NI 3'!C45</f>
        <v>1779.1902879007</v>
      </c>
      <c r="C44" s="28">
        <f>'Persamaan NI 3'!N45</f>
        <v>1744.9046811879082</v>
      </c>
    </row>
    <row r="45" spans="1:3" x14ac:dyDescent="0.35">
      <c r="A45">
        <v>2021</v>
      </c>
      <c r="B45">
        <f>'Persamaan NI 3'!C46</f>
        <v>1801.39945209292</v>
      </c>
      <c r="C45" s="28">
        <f>'Persamaan NI 3'!N46</f>
        <v>1743.2133357736645</v>
      </c>
    </row>
    <row r="46" spans="1:3" x14ac:dyDescent="0.35">
      <c r="A46">
        <v>2022</v>
      </c>
      <c r="B46">
        <f>'Persamaan NI 3'!C47</f>
        <v>1823.60861628515</v>
      </c>
      <c r="C46" s="28">
        <f>'Persamaan NI 3'!N47</f>
        <v>1745.7189698651448</v>
      </c>
    </row>
    <row r="47" spans="1:3" x14ac:dyDescent="0.35">
      <c r="A47">
        <v>2022</v>
      </c>
      <c r="B47">
        <f>'Persamaan NI 3'!C48</f>
        <v>1845.81778047737</v>
      </c>
      <c r="C47" s="28">
        <f>'Persamaan NI 3'!N48</f>
        <v>1764.706052296526</v>
      </c>
    </row>
    <row r="48" spans="1:3" x14ac:dyDescent="0.35">
      <c r="A48">
        <v>2023</v>
      </c>
      <c r="B48">
        <f>'Persamaan NI 3'!C49</f>
        <v>1868.02694466959</v>
      </c>
      <c r="C48" s="28"/>
    </row>
    <row r="49" spans="1:3" x14ac:dyDescent="0.35">
      <c r="A49">
        <v>2024</v>
      </c>
      <c r="B49">
        <f>'Persamaan NI 3'!C50</f>
        <v>1890.23610886182</v>
      </c>
      <c r="C49" s="28"/>
    </row>
    <row r="50" spans="1:3" x14ac:dyDescent="0.35">
      <c r="A50">
        <v>2025</v>
      </c>
      <c r="B50">
        <f>'Persamaan NI 3'!C51</f>
        <v>1912.4452730540399</v>
      </c>
      <c r="C50" s="28"/>
    </row>
    <row r="51" spans="1:3" x14ac:dyDescent="0.35">
      <c r="A51">
        <v>2026</v>
      </c>
      <c r="B51">
        <f>'Persamaan NI 3'!C52</f>
        <v>1934.6544372462699</v>
      </c>
      <c r="C51" s="28"/>
    </row>
    <row r="52" spans="1:3" x14ac:dyDescent="0.35">
      <c r="A52">
        <v>2027</v>
      </c>
      <c r="B52">
        <f>'Persamaan NI 3'!C53</f>
        <v>1956.8636014384999</v>
      </c>
      <c r="C52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4"/>
  <sheetViews>
    <sheetView zoomScale="77" zoomScaleNormal="90" workbookViewId="0">
      <selection activeCell="H61" sqref="H61"/>
    </sheetView>
  </sheetViews>
  <sheetFormatPr defaultRowHeight="14.5" x14ac:dyDescent="0.35"/>
  <cols>
    <col min="2" max="2" width="9.1796875" style="49"/>
    <col min="3" max="4" width="12.81640625" customWidth="1"/>
    <col min="6" max="6" width="15.26953125" customWidth="1"/>
    <col min="7" max="13" width="13.81640625" customWidth="1"/>
    <col min="14" max="14" width="15.1796875" customWidth="1"/>
    <col min="16" max="16" width="13.26953125" customWidth="1"/>
    <col min="17" max="17" width="27.26953125" customWidth="1"/>
    <col min="22" max="22" width="17.7265625" customWidth="1"/>
  </cols>
  <sheetData>
    <row r="1" spans="1:30" x14ac:dyDescent="0.35">
      <c r="B1" s="55" t="s">
        <v>363</v>
      </c>
      <c r="C1" t="s">
        <v>66</v>
      </c>
      <c r="E1" s="108" t="s">
        <v>70</v>
      </c>
      <c r="F1" s="108"/>
      <c r="G1" s="108"/>
      <c r="H1" t="s">
        <v>71</v>
      </c>
      <c r="I1" t="s">
        <v>72</v>
      </c>
      <c r="J1" t="s">
        <v>73</v>
      </c>
      <c r="K1" t="s">
        <v>74</v>
      </c>
      <c r="N1" t="s">
        <v>322</v>
      </c>
      <c r="O1" t="s">
        <v>321</v>
      </c>
    </row>
    <row r="2" spans="1:30" ht="15.5" x14ac:dyDescent="0.35">
      <c r="E2" s="9" t="s">
        <v>67</v>
      </c>
      <c r="F2" s="8" t="s">
        <v>68</v>
      </c>
      <c r="G2" t="s">
        <v>69</v>
      </c>
      <c r="O2" s="15" t="s">
        <v>312</v>
      </c>
      <c r="P2" t="s">
        <v>313</v>
      </c>
      <c r="Q2" t="s">
        <v>314</v>
      </c>
      <c r="V2" t="s">
        <v>318</v>
      </c>
      <c r="Y2" t="s">
        <v>323</v>
      </c>
      <c r="AA2" t="s">
        <v>324</v>
      </c>
      <c r="AB2">
        <v>373.6484494739546</v>
      </c>
      <c r="AD2" t="s">
        <v>325</v>
      </c>
    </row>
    <row r="3" spans="1:30" x14ac:dyDescent="0.35">
      <c r="A3" s="37" t="s">
        <v>337</v>
      </c>
      <c r="B3" s="49">
        <v>1</v>
      </c>
      <c r="C3" s="11">
        <v>375.798</v>
      </c>
      <c r="D3" s="34"/>
      <c r="E3" s="7">
        <v>1890</v>
      </c>
      <c r="F3">
        <v>1050</v>
      </c>
      <c r="G3" s="11">
        <v>1.8</v>
      </c>
      <c r="H3" s="24">
        <v>61.811</v>
      </c>
      <c r="I3" s="7">
        <v>2249</v>
      </c>
      <c r="J3" s="6">
        <v>31.33</v>
      </c>
      <c r="K3" s="7">
        <v>371848</v>
      </c>
      <c r="L3" s="7"/>
      <c r="M3" s="7"/>
      <c r="N3" s="11">
        <v>375.798</v>
      </c>
      <c r="O3" s="15">
        <v>-1304.144290086</v>
      </c>
      <c r="P3" s="11">
        <v>1679.942290086</v>
      </c>
      <c r="Q3" s="5">
        <v>2822206.0980193941</v>
      </c>
      <c r="V3" s="5">
        <v>1679.942290086</v>
      </c>
      <c r="Y3">
        <v>447.03332377660337</v>
      </c>
      <c r="AA3">
        <v>15693.234877906092</v>
      </c>
    </row>
    <row r="4" spans="1:30" x14ac:dyDescent="0.35">
      <c r="A4" s="37"/>
      <c r="B4" s="49">
        <v>2</v>
      </c>
      <c r="C4" s="11">
        <v>377.77300000000002</v>
      </c>
      <c r="D4" s="34"/>
      <c r="E4" s="7">
        <v>1984.5</v>
      </c>
      <c r="F4">
        <v>1075</v>
      </c>
      <c r="G4" s="11">
        <v>1.846046511627907</v>
      </c>
      <c r="H4" s="24">
        <v>66.429000000000002</v>
      </c>
      <c r="I4" s="7">
        <v>1951.5</v>
      </c>
      <c r="J4" s="6">
        <v>33.465000000000003</v>
      </c>
      <c r="K4" s="7">
        <v>373823</v>
      </c>
      <c r="L4" s="7"/>
      <c r="M4" s="7"/>
      <c r="N4" s="11">
        <v>377.77300000000002</v>
      </c>
      <c r="O4" s="15">
        <v>-1357.8085065505115</v>
      </c>
      <c r="P4" s="11">
        <v>1735.5815065505117</v>
      </c>
      <c r="Q4" s="5">
        <v>3012243.1658801436</v>
      </c>
      <c r="V4" s="5">
        <v>1735.5815065505117</v>
      </c>
      <c r="Y4">
        <v>459.42444445487405</v>
      </c>
    </row>
    <row r="5" spans="1:30" x14ac:dyDescent="0.35">
      <c r="A5" s="37" t="s">
        <v>338</v>
      </c>
      <c r="B5" s="49">
        <v>1</v>
      </c>
      <c r="C5" s="11">
        <v>379.74799999999999</v>
      </c>
      <c r="D5" s="20">
        <v>1.0510965997690217E-2</v>
      </c>
      <c r="E5" s="7">
        <v>2079</v>
      </c>
      <c r="F5">
        <v>1100</v>
      </c>
      <c r="G5" s="11">
        <v>1.89</v>
      </c>
      <c r="H5" s="24">
        <v>71.046999999999997</v>
      </c>
      <c r="I5" s="7">
        <v>1654</v>
      </c>
      <c r="J5" s="6">
        <v>35.6</v>
      </c>
      <c r="K5" s="7">
        <v>375798</v>
      </c>
      <c r="L5" s="7"/>
      <c r="M5" s="7"/>
      <c r="N5" s="11">
        <v>379.74799999999999</v>
      </c>
      <c r="O5" s="15">
        <v>-1410.587462922</v>
      </c>
      <c r="P5" s="11">
        <v>1790.335462922</v>
      </c>
      <c r="Q5" s="5">
        <v>3205301.0697961319</v>
      </c>
      <c r="T5">
        <v>2283.9630783730581</v>
      </c>
      <c r="V5" s="5">
        <v>1790.335462922</v>
      </c>
      <c r="Y5">
        <v>471.45355944521106</v>
      </c>
    </row>
    <row r="6" spans="1:30" x14ac:dyDescent="0.35">
      <c r="A6" s="37"/>
      <c r="B6" s="49">
        <v>2</v>
      </c>
      <c r="C6" s="11">
        <v>399.44799999999998</v>
      </c>
      <c r="D6" s="20">
        <v>5.7677262784793834E-2</v>
      </c>
      <c r="E6" s="7">
        <v>2146.5</v>
      </c>
      <c r="F6">
        <v>1125</v>
      </c>
      <c r="G6" s="11">
        <v>1.9079999999999999</v>
      </c>
      <c r="H6" s="24">
        <v>78.322999999999993</v>
      </c>
      <c r="I6" s="7">
        <v>2060.5</v>
      </c>
      <c r="J6" s="6">
        <v>37.19</v>
      </c>
      <c r="K6" s="7">
        <v>377773</v>
      </c>
      <c r="L6" s="7"/>
      <c r="M6" s="7"/>
      <c r="N6" s="11">
        <v>399.44799999999998</v>
      </c>
      <c r="O6" s="15">
        <v>-1484.1544231979997</v>
      </c>
      <c r="P6" s="11">
        <v>1883.6024231979995</v>
      </c>
      <c r="Q6" s="5">
        <v>3547958.0886773756</v>
      </c>
      <c r="V6" s="5">
        <v>1883.6024231979995</v>
      </c>
      <c r="Y6">
        <v>471.55134665788785</v>
      </c>
    </row>
    <row r="7" spans="1:30" x14ac:dyDescent="0.35">
      <c r="A7" s="37" t="s">
        <v>339</v>
      </c>
      <c r="B7" s="49">
        <v>1</v>
      </c>
      <c r="C7" s="11">
        <v>419.14800000000002</v>
      </c>
      <c r="D7" s="20">
        <v>0.10484355957189775</v>
      </c>
      <c r="E7" s="7">
        <v>2214</v>
      </c>
      <c r="F7">
        <v>1150</v>
      </c>
      <c r="G7" s="11">
        <v>1.9252173913043478</v>
      </c>
      <c r="H7" s="24">
        <v>85.599000000000004</v>
      </c>
      <c r="I7" s="7">
        <v>2467</v>
      </c>
      <c r="J7" s="6">
        <v>38.78</v>
      </c>
      <c r="K7" s="7">
        <v>379748</v>
      </c>
      <c r="L7" s="7"/>
      <c r="M7" s="7"/>
      <c r="N7" s="11">
        <v>419.14800000000002</v>
      </c>
      <c r="O7" s="15">
        <v>-1557.3903731783478</v>
      </c>
      <c r="P7" s="11">
        <v>1976.5383731783477</v>
      </c>
      <c r="Q7" s="5">
        <v>3906703.9406465092</v>
      </c>
      <c r="V7" s="5">
        <v>1976.5383731783477</v>
      </c>
      <c r="Y7">
        <v>471.56096967618782</v>
      </c>
    </row>
    <row r="8" spans="1:30" x14ac:dyDescent="0.35">
      <c r="A8" s="37"/>
      <c r="B8" s="49">
        <v>2</v>
      </c>
      <c r="C8" s="11">
        <v>428.79349999999999</v>
      </c>
      <c r="D8" s="20">
        <v>7.8088494350688445E-2</v>
      </c>
      <c r="E8" s="7">
        <v>2366.5</v>
      </c>
      <c r="F8">
        <v>1175</v>
      </c>
      <c r="G8" s="11">
        <v>2.0140425531914894</v>
      </c>
      <c r="H8" s="24">
        <v>90.354500000000002</v>
      </c>
      <c r="I8" s="7">
        <v>2243</v>
      </c>
      <c r="J8" s="6">
        <v>40.284999999999997</v>
      </c>
      <c r="K8" s="7">
        <v>399448</v>
      </c>
      <c r="L8" s="7"/>
      <c r="M8" s="7"/>
      <c r="N8" s="11">
        <v>428.79349999999999</v>
      </c>
      <c r="O8" s="15">
        <v>-1599.2577618127448</v>
      </c>
      <c r="P8" s="11">
        <v>2028.0512618127448</v>
      </c>
      <c r="Q8" s="5">
        <v>4112991.9205402662</v>
      </c>
      <c r="V8" s="5">
        <v>2028.0512618127448</v>
      </c>
      <c r="Y8">
        <v>472.9668854151812</v>
      </c>
    </row>
    <row r="9" spans="1:30" x14ac:dyDescent="0.35">
      <c r="A9" s="37" t="s">
        <v>340</v>
      </c>
      <c r="B9" s="49">
        <v>1</v>
      </c>
      <c r="C9" s="11">
        <v>438.43900000000002</v>
      </c>
      <c r="D9" s="20">
        <v>5.1333429129479129E-2</v>
      </c>
      <c r="E9" s="7">
        <v>2519</v>
      </c>
      <c r="F9">
        <v>1200</v>
      </c>
      <c r="G9" s="11">
        <v>2.0991666666666666</v>
      </c>
      <c r="H9" s="24">
        <v>95.11</v>
      </c>
      <c r="I9" s="7">
        <v>2019</v>
      </c>
      <c r="J9" s="6">
        <v>41.79</v>
      </c>
      <c r="K9" s="7">
        <v>419148</v>
      </c>
      <c r="L9" s="7"/>
      <c r="M9" s="7"/>
      <c r="N9" s="11">
        <v>438.43900000000002</v>
      </c>
      <c r="O9" s="15">
        <v>-1639.5597638933332</v>
      </c>
      <c r="P9" s="11">
        <v>2077.998763893333</v>
      </c>
      <c r="Q9" s="5">
        <v>4318078.8627422201</v>
      </c>
      <c r="V9" s="5">
        <v>2077.998763893333</v>
      </c>
      <c r="Y9">
        <v>473.95390553607984</v>
      </c>
    </row>
    <row r="10" spans="1:30" x14ac:dyDescent="0.35">
      <c r="A10" s="37"/>
      <c r="B10" s="49">
        <v>2</v>
      </c>
      <c r="C10" s="11">
        <v>455.95749999999998</v>
      </c>
      <c r="D10" s="20">
        <v>7.2283514015508296E-2</v>
      </c>
      <c r="E10" s="7">
        <v>2630</v>
      </c>
      <c r="F10">
        <v>1225</v>
      </c>
      <c r="G10" s="11">
        <v>2.1469387755102041</v>
      </c>
      <c r="H10" s="24">
        <v>101.5945</v>
      </c>
      <c r="I10" s="7">
        <v>1941.5</v>
      </c>
      <c r="J10" s="6">
        <v>44.64</v>
      </c>
      <c r="K10" s="7">
        <v>428793.5</v>
      </c>
      <c r="L10" s="7"/>
      <c r="M10" s="7"/>
      <c r="N10" s="11">
        <v>455.95749999999998</v>
      </c>
      <c r="O10" s="15">
        <v>-1720.2198339437348</v>
      </c>
      <c r="P10" s="11">
        <v>2176.177333943735</v>
      </c>
      <c r="Q10" s="5">
        <v>4735747.7887704624</v>
      </c>
      <c r="V10" s="5">
        <v>2176.177333943735</v>
      </c>
      <c r="Y10">
        <v>477.27635447245308</v>
      </c>
    </row>
    <row r="11" spans="1:30" x14ac:dyDescent="0.35">
      <c r="A11" s="37" t="s">
        <v>341</v>
      </c>
      <c r="B11" s="49">
        <v>1</v>
      </c>
      <c r="C11" s="11">
        <v>473.476</v>
      </c>
      <c r="D11" s="20">
        <v>9.3233598901537471E-2</v>
      </c>
      <c r="E11" s="7">
        <v>2741</v>
      </c>
      <c r="F11">
        <v>1250</v>
      </c>
      <c r="G11" s="11">
        <v>2.1928000000000001</v>
      </c>
      <c r="H11" s="24">
        <v>108.07899999999999</v>
      </c>
      <c r="I11" s="7">
        <v>1864</v>
      </c>
      <c r="J11" s="6">
        <v>47.49</v>
      </c>
      <c r="K11" s="7">
        <v>438439</v>
      </c>
      <c r="L11" s="7"/>
      <c r="M11" s="7"/>
      <c r="N11" s="11">
        <v>473.476</v>
      </c>
      <c r="O11" s="15">
        <v>-1800.0716809339997</v>
      </c>
      <c r="P11" s="11">
        <v>2273.5476809339998</v>
      </c>
      <c r="Q11" s="5">
        <v>5169019.0574803688</v>
      </c>
      <c r="V11" s="5">
        <v>2273.5476809339998</v>
      </c>
      <c r="Y11">
        <v>480.18224385903397</v>
      </c>
    </row>
    <row r="12" spans="1:30" x14ac:dyDescent="0.35">
      <c r="A12" s="37"/>
      <c r="B12" s="49">
        <v>2</v>
      </c>
      <c r="C12" s="11">
        <v>486.99</v>
      </c>
      <c r="D12" s="20">
        <v>8.2577608183119725E-2</v>
      </c>
      <c r="E12" s="7">
        <v>2770.5</v>
      </c>
      <c r="F12">
        <v>1275</v>
      </c>
      <c r="G12" s="11">
        <v>2.1729411764705882</v>
      </c>
      <c r="H12" s="24">
        <v>112.77849999999999</v>
      </c>
      <c r="I12" s="7">
        <v>2124</v>
      </c>
      <c r="J12" s="6">
        <v>48.534999999999997</v>
      </c>
      <c r="K12" s="7">
        <v>455957.5</v>
      </c>
      <c r="L12" s="7"/>
      <c r="M12" s="7"/>
      <c r="N12" s="11">
        <v>486.99</v>
      </c>
      <c r="O12" s="15">
        <v>-1818.5948265821762</v>
      </c>
      <c r="P12" s="11">
        <v>2305.584826582176</v>
      </c>
      <c r="Q12" s="5">
        <v>5315721.3925659629</v>
      </c>
      <c r="V12" s="5">
        <v>2305.584826582176</v>
      </c>
      <c r="Y12">
        <v>473.43576389292917</v>
      </c>
    </row>
    <row r="13" spans="1:30" x14ac:dyDescent="0.35">
      <c r="A13" s="37" t="s">
        <v>342</v>
      </c>
      <c r="B13" s="49">
        <v>1</v>
      </c>
      <c r="C13" s="11">
        <v>500.50400000000002</v>
      </c>
      <c r="D13" s="20">
        <v>7.192161746470184E-2</v>
      </c>
      <c r="E13" s="7">
        <v>2800</v>
      </c>
      <c r="F13">
        <v>1300</v>
      </c>
      <c r="G13" s="11">
        <v>2.1538461538461537</v>
      </c>
      <c r="H13" s="24">
        <v>117.47799999999999</v>
      </c>
      <c r="I13" s="7">
        <v>2384</v>
      </c>
      <c r="J13" s="6">
        <v>49.58</v>
      </c>
      <c r="K13" s="7">
        <v>473476</v>
      </c>
      <c r="L13" s="7"/>
      <c r="M13" s="7"/>
      <c r="N13" s="11">
        <v>500.50400000000002</v>
      </c>
      <c r="O13" s="15">
        <v>-1837.4410276279998</v>
      </c>
      <c r="P13" s="11">
        <v>2337.9450276279999</v>
      </c>
      <c r="Q13" s="5">
        <v>5465986.9522104897</v>
      </c>
      <c r="V13" s="5">
        <v>2337.9450276279999</v>
      </c>
      <c r="Y13">
        <v>467.11815042996659</v>
      </c>
    </row>
    <row r="14" spans="1:30" x14ac:dyDescent="0.35">
      <c r="A14" s="37"/>
      <c r="B14" s="49">
        <v>2</v>
      </c>
      <c r="C14" s="11">
        <v>511.47550000000001</v>
      </c>
      <c r="D14" s="20">
        <v>6.5156014667454326E-2</v>
      </c>
      <c r="E14" s="7">
        <v>2830</v>
      </c>
      <c r="F14">
        <v>1325</v>
      </c>
      <c r="G14" s="11">
        <v>2.1358490566037736</v>
      </c>
      <c r="H14" s="24">
        <v>127.84399999999999</v>
      </c>
      <c r="I14" s="7">
        <v>2232</v>
      </c>
      <c r="J14" s="6">
        <v>49.265000000000001</v>
      </c>
      <c r="K14" s="7">
        <v>486990</v>
      </c>
      <c r="L14" s="7"/>
      <c r="M14" s="7"/>
      <c r="N14" s="11">
        <v>511.47550000000001</v>
      </c>
      <c r="O14" s="15">
        <v>-1791.9507687373964</v>
      </c>
      <c r="P14" s="11">
        <v>2303.4262687373966</v>
      </c>
      <c r="Q14" s="5">
        <v>5305772.5755094858</v>
      </c>
      <c r="V14" s="5">
        <v>2303.4262687373966</v>
      </c>
      <c r="Y14">
        <v>450.34928725567437</v>
      </c>
    </row>
    <row r="15" spans="1:30" x14ac:dyDescent="0.35">
      <c r="A15" s="37" t="s">
        <v>343</v>
      </c>
      <c r="B15" s="49">
        <v>1</v>
      </c>
      <c r="C15" s="11">
        <v>522.447</v>
      </c>
      <c r="D15" s="20">
        <v>5.839041187020682E-2</v>
      </c>
      <c r="E15" s="7">
        <v>2860</v>
      </c>
      <c r="F15">
        <v>1350</v>
      </c>
      <c r="G15" s="11">
        <v>2.1185185185185187</v>
      </c>
      <c r="H15" s="24">
        <v>138.21</v>
      </c>
      <c r="I15" s="7">
        <v>2080</v>
      </c>
      <c r="J15" s="6">
        <v>48.95</v>
      </c>
      <c r="K15" s="7">
        <v>500504</v>
      </c>
      <c r="L15" s="7"/>
      <c r="M15" s="7"/>
      <c r="N15" s="11">
        <v>522.447</v>
      </c>
      <c r="O15" s="15">
        <v>-1746.7424361081485</v>
      </c>
      <c r="P15" s="11">
        <v>2269.1894361081486</v>
      </c>
      <c r="Q15" s="5">
        <v>5149220.696944817</v>
      </c>
      <c r="V15" s="5">
        <v>2269.1894361081486</v>
      </c>
      <c r="Y15">
        <v>434.33868624150369</v>
      </c>
    </row>
    <row r="16" spans="1:30" x14ac:dyDescent="0.35">
      <c r="A16" s="37"/>
      <c r="B16" s="49">
        <v>2</v>
      </c>
      <c r="C16" s="11">
        <v>546.71399999999994</v>
      </c>
      <c r="D16" s="20">
        <v>9.376979121762205E-2</v>
      </c>
      <c r="E16" s="7">
        <v>2993</v>
      </c>
      <c r="F16">
        <v>1375</v>
      </c>
      <c r="G16" s="11">
        <v>2.1767272727272728</v>
      </c>
      <c r="H16" s="24">
        <v>156.5795</v>
      </c>
      <c r="I16" s="7">
        <v>1947.5</v>
      </c>
      <c r="J16" s="6">
        <v>49.234999999999999</v>
      </c>
      <c r="K16" s="7">
        <v>511475.5</v>
      </c>
      <c r="L16" s="7"/>
      <c r="M16" s="7"/>
      <c r="N16" s="11">
        <v>546.71399999999994</v>
      </c>
      <c r="O16" s="15">
        <v>-1749.6709846942729</v>
      </c>
      <c r="P16" s="11">
        <v>2296.384984694273</v>
      </c>
      <c r="Q16" s="5">
        <v>5273383.9979293169</v>
      </c>
      <c r="V16" s="5">
        <v>2296.384984694273</v>
      </c>
      <c r="Y16">
        <v>420.03405522709738</v>
      </c>
    </row>
    <row r="17" spans="1:25" x14ac:dyDescent="0.35">
      <c r="A17" s="37" t="s">
        <v>344</v>
      </c>
      <c r="B17" s="49">
        <v>1</v>
      </c>
      <c r="C17" s="11">
        <v>570.98099999999999</v>
      </c>
      <c r="D17" s="20">
        <v>0.12914917056503758</v>
      </c>
      <c r="E17" s="7">
        <v>3126</v>
      </c>
      <c r="F17">
        <v>1400</v>
      </c>
      <c r="G17" s="11">
        <v>2.2328571428571427</v>
      </c>
      <c r="H17" s="24">
        <v>174.94900000000001</v>
      </c>
      <c r="I17" s="7">
        <v>1815</v>
      </c>
      <c r="J17" s="6">
        <v>49.52</v>
      </c>
      <c r="K17" s="7">
        <v>522447</v>
      </c>
      <c r="L17" s="7"/>
      <c r="M17" s="7"/>
      <c r="N17" s="11">
        <v>570.98099999999999</v>
      </c>
      <c r="O17" s="15">
        <v>-1751.7202534597141</v>
      </c>
      <c r="P17" s="11">
        <v>2322.7012534597143</v>
      </c>
      <c r="Q17" s="5">
        <v>5394941.112823328</v>
      </c>
      <c r="V17" s="5">
        <v>2322.7012534597143</v>
      </c>
      <c r="Y17">
        <v>406.79133867146442</v>
      </c>
    </row>
    <row r="18" spans="1:25" x14ac:dyDescent="0.35">
      <c r="A18" s="37"/>
      <c r="B18" s="49">
        <v>2</v>
      </c>
      <c r="C18" s="11">
        <v>593.46299999999997</v>
      </c>
      <c r="D18" s="20">
        <v>0.12439927833570169</v>
      </c>
      <c r="E18" s="7">
        <v>3194.5</v>
      </c>
      <c r="F18">
        <v>1425</v>
      </c>
      <c r="G18" s="11">
        <v>2.2417543859649123</v>
      </c>
      <c r="H18" s="24">
        <v>186.8775</v>
      </c>
      <c r="I18" s="7">
        <v>2134</v>
      </c>
      <c r="J18" s="6">
        <v>50.14</v>
      </c>
      <c r="K18" s="7">
        <v>546714</v>
      </c>
      <c r="L18" s="7"/>
      <c r="M18" s="7"/>
      <c r="N18" s="11">
        <v>593.46299999999997</v>
      </c>
      <c r="O18" s="15">
        <v>-1764.2575291421931</v>
      </c>
      <c r="P18" s="11">
        <v>2357.7205291421933</v>
      </c>
      <c r="Q18" s="5">
        <v>5558846.0935385441</v>
      </c>
      <c r="V18" s="5">
        <v>2357.7205291421933</v>
      </c>
      <c r="Y18">
        <v>397.28180680888164</v>
      </c>
    </row>
    <row r="19" spans="1:25" x14ac:dyDescent="0.35">
      <c r="A19" s="37" t="s">
        <v>345</v>
      </c>
      <c r="B19" s="49">
        <v>1</v>
      </c>
      <c r="C19" s="11">
        <v>615.94500000000005</v>
      </c>
      <c r="D19" s="20">
        <v>0.1196493861063658</v>
      </c>
      <c r="E19" s="7">
        <v>3263</v>
      </c>
      <c r="F19">
        <v>1450</v>
      </c>
      <c r="G19" s="11">
        <v>2.2503448275862068</v>
      </c>
      <c r="H19" s="24">
        <v>198.80600000000001</v>
      </c>
      <c r="I19" s="7">
        <v>2453</v>
      </c>
      <c r="J19" s="6">
        <v>50.76</v>
      </c>
      <c r="K19" s="7">
        <v>570981</v>
      </c>
      <c r="L19" s="7"/>
      <c r="M19" s="7"/>
      <c r="N19" s="11">
        <v>615.94500000000005</v>
      </c>
      <c r="O19" s="15">
        <v>-1776.6650408042758</v>
      </c>
      <c r="P19" s="11">
        <v>2392.6100408042757</v>
      </c>
      <c r="Q19" s="5">
        <v>5724582.8073574379</v>
      </c>
      <c r="V19" s="5">
        <v>2392.6100408042757</v>
      </c>
      <c r="Y19">
        <v>388.44540353510064</v>
      </c>
    </row>
    <row r="20" spans="1:25" x14ac:dyDescent="0.35">
      <c r="A20" s="37"/>
      <c r="B20" s="49">
        <v>2</v>
      </c>
      <c r="C20" s="11">
        <v>638.06100000000004</v>
      </c>
      <c r="D20" s="20">
        <v>0.11867545862404821</v>
      </c>
      <c r="E20" s="7">
        <v>3380.5</v>
      </c>
      <c r="F20">
        <v>1475</v>
      </c>
      <c r="G20" s="11">
        <v>2.291864406779661</v>
      </c>
      <c r="H20" s="24">
        <v>206.28800000000001</v>
      </c>
      <c r="I20" s="7">
        <v>2383.5</v>
      </c>
      <c r="J20" s="6">
        <v>51.47</v>
      </c>
      <c r="K20" s="7">
        <v>593463</v>
      </c>
      <c r="L20" s="7"/>
      <c r="M20" s="7"/>
      <c r="N20" s="11">
        <v>638.06100000000004</v>
      </c>
      <c r="O20" s="15">
        <v>-1782.980500404949</v>
      </c>
      <c r="P20" s="11">
        <v>2421.0415004049491</v>
      </c>
      <c r="Q20" s="5">
        <v>5861441.9466830473</v>
      </c>
      <c r="V20" s="5">
        <v>2421.0415004049491</v>
      </c>
      <c r="Y20">
        <v>379.43731091618969</v>
      </c>
    </row>
    <row r="21" spans="1:25" x14ac:dyDescent="0.35">
      <c r="A21" s="37" t="s">
        <v>346</v>
      </c>
      <c r="B21" s="49">
        <v>1</v>
      </c>
      <c r="C21" s="11">
        <v>660.17700000000002</v>
      </c>
      <c r="D21" s="20">
        <v>0.11770153114173032</v>
      </c>
      <c r="E21" s="7">
        <v>3498</v>
      </c>
      <c r="F21">
        <v>1500</v>
      </c>
      <c r="G21" s="11">
        <v>2.3319999999999999</v>
      </c>
      <c r="H21" s="24">
        <v>213.77</v>
      </c>
      <c r="I21" s="7">
        <v>2314</v>
      </c>
      <c r="J21" s="6">
        <v>52.18</v>
      </c>
      <c r="K21" s="7">
        <v>615945</v>
      </c>
      <c r="L21" s="7"/>
      <c r="M21" s="7"/>
      <c r="N21" s="11">
        <v>660.17700000000002</v>
      </c>
      <c r="O21" s="15">
        <v>-1788.7105926200002</v>
      </c>
      <c r="P21" s="11">
        <v>2448.8875926200003</v>
      </c>
      <c r="Q21" s="5">
        <v>5997050.4412881806</v>
      </c>
      <c r="V21" s="5">
        <v>2448.8875926200003</v>
      </c>
      <c r="Y21">
        <v>370.94409417777354</v>
      </c>
    </row>
    <row r="22" spans="1:25" x14ac:dyDescent="0.35">
      <c r="A22" s="37"/>
      <c r="B22" s="49">
        <v>2</v>
      </c>
      <c r="C22" s="11">
        <v>674.28899999999999</v>
      </c>
      <c r="D22" s="20">
        <v>9.640285472514476E-2</v>
      </c>
      <c r="E22" s="7">
        <v>3572.5</v>
      </c>
      <c r="F22">
        <v>1575</v>
      </c>
      <c r="G22" s="11">
        <v>2.2682539682539682</v>
      </c>
      <c r="H22" s="24">
        <v>237.23249999999999</v>
      </c>
      <c r="I22" s="7">
        <v>2141</v>
      </c>
      <c r="J22" s="6">
        <v>50.064999999999998</v>
      </c>
      <c r="K22" s="7">
        <v>638061</v>
      </c>
      <c r="L22" s="7"/>
      <c r="M22" s="7"/>
      <c r="N22" s="11">
        <v>674.28899999999999</v>
      </c>
      <c r="O22" s="15">
        <v>-1657.3670628481746</v>
      </c>
      <c r="P22" s="11">
        <v>2331.6560628481748</v>
      </c>
      <c r="Q22" s="5">
        <v>5436619.9954166515</v>
      </c>
      <c r="V22" s="5">
        <v>2331.6560628481748</v>
      </c>
      <c r="Y22">
        <v>345.79476498180674</v>
      </c>
    </row>
    <row r="23" spans="1:25" x14ac:dyDescent="0.35">
      <c r="A23" s="37" t="s">
        <v>347</v>
      </c>
      <c r="B23" s="49">
        <v>1</v>
      </c>
      <c r="C23" s="11">
        <v>688.40099999999995</v>
      </c>
      <c r="D23" s="20">
        <v>7.51041783085592E-2</v>
      </c>
      <c r="E23" s="7">
        <v>3647</v>
      </c>
      <c r="F23">
        <v>1650</v>
      </c>
      <c r="G23" s="11">
        <v>2.2103030303030304</v>
      </c>
      <c r="H23" s="24">
        <v>260.69499999999999</v>
      </c>
      <c r="I23" s="7">
        <v>1968</v>
      </c>
      <c r="J23" s="6">
        <v>47.95</v>
      </c>
      <c r="K23" s="7">
        <v>660177</v>
      </c>
      <c r="L23" s="7"/>
      <c r="M23" s="7"/>
      <c r="N23" s="11">
        <v>688.40099999999995</v>
      </c>
      <c r="O23" s="15">
        <v>-1528.4746120396974</v>
      </c>
      <c r="P23" s="11">
        <v>2216.8756120396974</v>
      </c>
      <c r="Q23" s="5">
        <v>4914537.4792563831</v>
      </c>
      <c r="V23" s="5">
        <v>2216.8756120396974</v>
      </c>
      <c r="Y23">
        <v>322.03259612343646</v>
      </c>
    </row>
    <row r="24" spans="1:25" x14ac:dyDescent="0.35">
      <c r="A24" s="37"/>
      <c r="B24" s="49">
        <v>2</v>
      </c>
      <c r="C24" s="11">
        <v>695.78449999999998</v>
      </c>
      <c r="D24" s="20">
        <v>5.7199612557810295E-2</v>
      </c>
      <c r="E24" s="7">
        <v>3713.5</v>
      </c>
      <c r="F24">
        <v>1675</v>
      </c>
      <c r="G24" s="11">
        <v>2.2170149253731344</v>
      </c>
      <c r="H24" s="24">
        <v>275.17849999999999</v>
      </c>
      <c r="I24" s="7">
        <v>2005</v>
      </c>
      <c r="J24" s="6">
        <v>48.44</v>
      </c>
      <c r="K24" s="7">
        <v>674289</v>
      </c>
      <c r="L24" s="7"/>
      <c r="M24" s="7"/>
      <c r="N24" s="11">
        <v>695.78449999999998</v>
      </c>
      <c r="O24" s="15">
        <v>-1525.8432911909999</v>
      </c>
      <c r="P24" s="11">
        <v>2221.6277911910001</v>
      </c>
      <c r="Q24" s="5">
        <v>4935630.0425922023</v>
      </c>
      <c r="V24" s="5">
        <v>2221.6277911910001</v>
      </c>
      <c r="Y24">
        <v>319.29825846810331</v>
      </c>
    </row>
    <row r="25" spans="1:25" x14ac:dyDescent="0.35">
      <c r="A25" s="37" t="s">
        <v>348</v>
      </c>
      <c r="B25" s="49">
        <v>1</v>
      </c>
      <c r="C25" s="11">
        <v>703.16800000000001</v>
      </c>
      <c r="D25" s="20">
        <v>3.9295046807061383E-2</v>
      </c>
      <c r="E25" s="7">
        <v>3780</v>
      </c>
      <c r="F25">
        <v>1700</v>
      </c>
      <c r="G25" s="11">
        <v>2.223529411764706</v>
      </c>
      <c r="H25" s="24">
        <v>289.66199999999998</v>
      </c>
      <c r="I25" s="7">
        <v>2042</v>
      </c>
      <c r="J25" s="6">
        <v>48.93</v>
      </c>
      <c r="K25" s="7">
        <v>688401</v>
      </c>
      <c r="L25" s="7"/>
      <c r="M25" s="7"/>
      <c r="N25" s="11">
        <v>703.16800000000001</v>
      </c>
      <c r="O25" s="15">
        <v>-1523.1284748414121</v>
      </c>
      <c r="P25" s="11">
        <v>2226.296474841412</v>
      </c>
      <c r="Q25" s="5">
        <v>4956395.9938912978</v>
      </c>
      <c r="V25" s="5">
        <v>2226.296474841412</v>
      </c>
      <c r="Y25">
        <v>316.6094695494408</v>
      </c>
    </row>
    <row r="26" spans="1:25" x14ac:dyDescent="0.35">
      <c r="A26" s="37"/>
      <c r="B26" s="49">
        <v>2</v>
      </c>
      <c r="C26" s="11">
        <v>708.73749999999995</v>
      </c>
      <c r="D26" s="20">
        <v>3.4467985460273805E-2</v>
      </c>
      <c r="E26" s="7">
        <v>3931</v>
      </c>
      <c r="F26">
        <v>1775</v>
      </c>
      <c r="G26" s="11">
        <v>2.2146478873239435</v>
      </c>
      <c r="H26" s="24">
        <v>289.66199999999998</v>
      </c>
      <c r="I26" s="7">
        <v>2608.5</v>
      </c>
      <c r="J26" s="6">
        <v>49.33</v>
      </c>
      <c r="K26" s="7">
        <v>695784.5</v>
      </c>
      <c r="L26" s="7"/>
      <c r="M26" s="7"/>
      <c r="N26" s="11">
        <v>708.73749999999995</v>
      </c>
      <c r="O26" s="15">
        <v>-1561.9369640796058</v>
      </c>
      <c r="P26" s="11">
        <v>2270.674464079606</v>
      </c>
      <c r="Q26" s="5">
        <v>5155962.521823206</v>
      </c>
      <c r="V26" s="5">
        <v>2270.674464079606</v>
      </c>
      <c r="Y26">
        <v>320.38299992304712</v>
      </c>
    </row>
    <row r="27" spans="1:25" x14ac:dyDescent="0.35">
      <c r="A27" s="37" t="s">
        <v>349</v>
      </c>
      <c r="B27" s="49">
        <v>1</v>
      </c>
      <c r="C27" s="11">
        <v>714.30700000000002</v>
      </c>
      <c r="D27" s="20">
        <v>2.9640924113486528E-2</v>
      </c>
      <c r="E27" s="7">
        <v>4082</v>
      </c>
      <c r="F27">
        <v>1850</v>
      </c>
      <c r="G27" s="11">
        <v>2.2064864864864866</v>
      </c>
      <c r="H27" s="24">
        <v>289.66199999999998</v>
      </c>
      <c r="I27" s="7">
        <v>3175</v>
      </c>
      <c r="J27" s="6">
        <v>49.73</v>
      </c>
      <c r="K27" s="7">
        <v>703168</v>
      </c>
      <c r="L27" s="7"/>
      <c r="M27" s="7"/>
      <c r="N27" s="11">
        <v>714.30700000000002</v>
      </c>
      <c r="O27" s="15">
        <v>-1601.0500350687566</v>
      </c>
      <c r="P27" s="11">
        <v>2315.3570350687569</v>
      </c>
      <c r="Q27" s="5">
        <v>5360878.199842385</v>
      </c>
      <c r="V27" s="5">
        <v>2315.3570350687569</v>
      </c>
      <c r="Y27">
        <v>324.14032552792526</v>
      </c>
    </row>
    <row r="28" spans="1:25" x14ac:dyDescent="0.35">
      <c r="A28" s="37"/>
      <c r="B28" s="49">
        <v>2</v>
      </c>
      <c r="C28" s="11">
        <v>705.82550000000003</v>
      </c>
      <c r="D28" s="20">
        <v>-7.7488437937400434E-3</v>
      </c>
      <c r="E28" s="7">
        <v>4352.5</v>
      </c>
      <c r="F28">
        <v>1875</v>
      </c>
      <c r="G28" s="11">
        <v>2.3213333333333335</v>
      </c>
      <c r="H28" s="24">
        <v>281.35700000000003</v>
      </c>
      <c r="I28" s="7">
        <v>2901</v>
      </c>
      <c r="J28" s="6">
        <v>50.47</v>
      </c>
      <c r="K28" s="7">
        <v>708737.5</v>
      </c>
      <c r="L28" s="7"/>
      <c r="M28" s="7"/>
      <c r="N28" s="11">
        <v>705.82550000000003</v>
      </c>
      <c r="O28" s="15">
        <v>-1650.1800250486663</v>
      </c>
      <c r="P28" s="11">
        <v>2356.0055250486662</v>
      </c>
      <c r="Q28" s="5">
        <v>5550762.0340598412</v>
      </c>
      <c r="V28" s="5">
        <v>2356.0055250486662</v>
      </c>
      <c r="Y28">
        <v>333.79433373385717</v>
      </c>
    </row>
    <row r="29" spans="1:25" x14ac:dyDescent="0.35">
      <c r="A29" s="37" t="s">
        <v>350</v>
      </c>
      <c r="B29" s="49">
        <v>1</v>
      </c>
      <c r="C29" s="11">
        <v>697.34400000000005</v>
      </c>
      <c r="D29" s="20">
        <v>-4.5138611700966919E-2</v>
      </c>
      <c r="E29" s="7">
        <v>4623</v>
      </c>
      <c r="F29">
        <v>1900</v>
      </c>
      <c r="G29" s="11">
        <v>2.433157894736842</v>
      </c>
      <c r="H29" s="24">
        <v>273.05200000000002</v>
      </c>
      <c r="I29" s="7">
        <v>2627</v>
      </c>
      <c r="J29" s="6">
        <v>51.21</v>
      </c>
      <c r="K29" s="7">
        <v>714307</v>
      </c>
      <c r="L29" s="7"/>
      <c r="M29" s="7"/>
      <c r="N29" s="11">
        <v>697.34400000000005</v>
      </c>
      <c r="O29" s="15">
        <v>-1698.0317164309467</v>
      </c>
      <c r="P29" s="11">
        <v>2395.3757164309468</v>
      </c>
      <c r="Q29" s="5">
        <v>5737824.8228670713</v>
      </c>
      <c r="V29" s="5">
        <v>2395.3757164309468</v>
      </c>
      <c r="Y29">
        <v>343.49986755904496</v>
      </c>
    </row>
    <row r="30" spans="1:25" x14ac:dyDescent="0.35">
      <c r="A30" s="37"/>
      <c r="B30" s="49">
        <v>2</v>
      </c>
      <c r="C30" s="11">
        <v>687.03400000000011</v>
      </c>
      <c r="D30" s="20">
        <v>-5.0004257606479884E-2</v>
      </c>
      <c r="E30" s="7">
        <v>4780.5</v>
      </c>
      <c r="F30">
        <v>1925</v>
      </c>
      <c r="G30" s="11">
        <v>2.4833766233766235</v>
      </c>
      <c r="H30" s="24">
        <v>272.40899999999999</v>
      </c>
      <c r="I30" s="7">
        <v>2387.5</v>
      </c>
      <c r="J30" s="6">
        <v>51.394999999999996</v>
      </c>
      <c r="K30" s="7">
        <v>705825.5</v>
      </c>
      <c r="L30" s="7"/>
      <c r="M30" s="7"/>
      <c r="N30" s="11">
        <v>687.03400000000011</v>
      </c>
      <c r="O30" s="15">
        <v>-1716.6709729034801</v>
      </c>
      <c r="P30" s="11">
        <v>2403.7049729034802</v>
      </c>
      <c r="Q30" s="5">
        <v>5777797.5967609202</v>
      </c>
      <c r="V30" s="5">
        <v>2403.7049729034802</v>
      </c>
      <c r="Y30">
        <v>349.86696042750134</v>
      </c>
    </row>
    <row r="31" spans="1:25" x14ac:dyDescent="0.35">
      <c r="A31" s="37" t="s">
        <v>351</v>
      </c>
      <c r="B31" s="49">
        <v>1</v>
      </c>
      <c r="C31" s="11">
        <v>676.72400000000005</v>
      </c>
      <c r="D31" s="20">
        <v>-5.4869903511993154E-2</v>
      </c>
      <c r="E31" s="7">
        <v>4938</v>
      </c>
      <c r="F31">
        <v>1950</v>
      </c>
      <c r="G31" s="11">
        <v>2.5323076923076924</v>
      </c>
      <c r="H31" s="24">
        <v>271.76600000000002</v>
      </c>
      <c r="I31" s="7">
        <v>2148</v>
      </c>
      <c r="J31" s="6">
        <v>51.58</v>
      </c>
      <c r="K31" s="7">
        <v>697344</v>
      </c>
      <c r="L31" s="7"/>
      <c r="M31" s="7"/>
      <c r="N31" s="11">
        <v>676.72400000000005</v>
      </c>
      <c r="O31" s="15">
        <v>-1734.7656039159997</v>
      </c>
      <c r="P31" s="11">
        <v>2411.4896039159999</v>
      </c>
      <c r="Q31" s="5">
        <v>5815282.1097949455</v>
      </c>
      <c r="V31" s="5">
        <v>2411.4896039159999</v>
      </c>
      <c r="Y31">
        <v>356.34758098072473</v>
      </c>
    </row>
    <row r="32" spans="1:25" x14ac:dyDescent="0.35">
      <c r="A32" s="37"/>
      <c r="B32" s="49">
        <v>2</v>
      </c>
      <c r="C32" s="11">
        <v>704.26750000000004</v>
      </c>
      <c r="D32" s="20">
        <v>4.5858413296504863E-2</v>
      </c>
      <c r="E32" s="7">
        <v>5050.5</v>
      </c>
      <c r="F32">
        <v>1950</v>
      </c>
      <c r="G32" s="11">
        <v>2.59</v>
      </c>
      <c r="H32" s="24">
        <v>267.85449999999997</v>
      </c>
      <c r="I32" s="7">
        <v>1561.95</v>
      </c>
      <c r="J32" s="6">
        <v>52.224999999999994</v>
      </c>
      <c r="K32" s="7">
        <v>687034</v>
      </c>
      <c r="L32" s="7"/>
      <c r="M32" s="7"/>
      <c r="N32" s="11">
        <v>704.26750000000004</v>
      </c>
      <c r="O32" s="15">
        <v>-1749.055686317</v>
      </c>
      <c r="P32" s="11">
        <v>2453.3231863169999</v>
      </c>
      <c r="Q32" s="5">
        <v>6018794.6565205967</v>
      </c>
      <c r="V32" s="5">
        <v>2453.3231863169999</v>
      </c>
      <c r="Y32">
        <v>348.35104364705171</v>
      </c>
    </row>
    <row r="33" spans="1:25" x14ac:dyDescent="0.35">
      <c r="A33" s="37" t="s">
        <v>352</v>
      </c>
      <c r="B33" s="49">
        <v>1</v>
      </c>
      <c r="C33" s="11">
        <v>731.81100000000004</v>
      </c>
      <c r="D33" s="20">
        <v>0.1465867301050032</v>
      </c>
      <c r="E33" s="7">
        <v>5163</v>
      </c>
      <c r="F33">
        <v>1950</v>
      </c>
      <c r="G33" s="11">
        <v>2.6476923076923078</v>
      </c>
      <c r="H33" s="24">
        <v>263.94299999999998</v>
      </c>
      <c r="I33" s="7">
        <v>975.9</v>
      </c>
      <c r="J33" s="6">
        <v>52.87</v>
      </c>
      <c r="K33" s="7">
        <v>676724</v>
      </c>
      <c r="L33" s="7"/>
      <c r="M33" s="7"/>
      <c r="N33" s="11">
        <v>731.81100000000004</v>
      </c>
      <c r="O33" s="15">
        <v>-1763.3457687179998</v>
      </c>
      <c r="P33" s="11">
        <v>2495.156768718</v>
      </c>
      <c r="Q33" s="5">
        <v>6225807.300479251</v>
      </c>
      <c r="V33" s="5">
        <v>2495.156768718</v>
      </c>
      <c r="Y33">
        <v>340.95644486322288</v>
      </c>
    </row>
    <row r="34" spans="1:25" x14ac:dyDescent="0.35">
      <c r="A34" s="37"/>
      <c r="B34" s="49">
        <v>2</v>
      </c>
      <c r="C34" s="11">
        <v>779.25340000000006</v>
      </c>
      <c r="D34" s="20">
        <v>0.19953778359650667</v>
      </c>
      <c r="E34" s="7">
        <v>5244</v>
      </c>
      <c r="F34">
        <v>1975</v>
      </c>
      <c r="G34" s="11">
        <v>2.6551898734177217</v>
      </c>
      <c r="H34" s="24">
        <v>262.70650000000001</v>
      </c>
      <c r="I34" s="7">
        <v>1424.45</v>
      </c>
      <c r="J34" s="6">
        <v>52.97</v>
      </c>
      <c r="K34" s="7">
        <v>704267.5</v>
      </c>
      <c r="L34" s="7"/>
      <c r="M34" s="7"/>
      <c r="N34" s="11">
        <v>779.25340000000006</v>
      </c>
      <c r="O34" s="15">
        <v>-1773.5163274240631</v>
      </c>
      <c r="P34" s="11">
        <v>2552.7697274240631</v>
      </c>
      <c r="Q34" s="5">
        <v>6516633.281252726</v>
      </c>
      <c r="V34" s="5">
        <v>2552.7697274240631</v>
      </c>
      <c r="Y34">
        <v>327.59173427078576</v>
      </c>
    </row>
    <row r="35" spans="1:25" x14ac:dyDescent="0.35">
      <c r="A35" s="37" t="s">
        <v>353</v>
      </c>
      <c r="B35" s="49">
        <v>1</v>
      </c>
      <c r="C35" s="11">
        <v>826.69580000000008</v>
      </c>
      <c r="D35" s="20">
        <v>0.25248883708801018</v>
      </c>
      <c r="E35" s="7">
        <v>5325</v>
      </c>
      <c r="F35">
        <v>2000</v>
      </c>
      <c r="G35" s="11">
        <v>2.6625000000000001</v>
      </c>
      <c r="H35" s="24">
        <v>261.47000000000003</v>
      </c>
      <c r="I35" s="7">
        <v>1873</v>
      </c>
      <c r="J35" s="6">
        <v>53.07</v>
      </c>
      <c r="K35" s="7">
        <v>731811</v>
      </c>
      <c r="L35" s="7"/>
      <c r="M35" s="7"/>
      <c r="N35" s="11">
        <v>826.69580000000008</v>
      </c>
      <c r="O35" s="15">
        <v>-1783.6076073199997</v>
      </c>
      <c r="P35" s="11">
        <v>2610.3034073199997</v>
      </c>
      <c r="Q35" s="5">
        <v>6813683.8782663997</v>
      </c>
      <c r="V35" s="5">
        <v>2610.3034073199997</v>
      </c>
      <c r="Y35">
        <v>315.7513812601926</v>
      </c>
    </row>
    <row r="36" spans="1:25" x14ac:dyDescent="0.35">
      <c r="A36" s="37"/>
      <c r="B36" s="49">
        <v>2</v>
      </c>
      <c r="C36" s="11">
        <v>845.48955000000001</v>
      </c>
      <c r="D36" s="20">
        <v>0.17625466340959758</v>
      </c>
      <c r="E36" s="7">
        <v>5637</v>
      </c>
      <c r="F36">
        <v>2075</v>
      </c>
      <c r="G36" s="11">
        <v>2.7166265060240962</v>
      </c>
      <c r="H36" s="24">
        <v>260.74549999999999</v>
      </c>
      <c r="I36" s="7">
        <v>1987.5</v>
      </c>
      <c r="J36" s="6">
        <v>53.55</v>
      </c>
      <c r="K36" s="7">
        <v>779253.4</v>
      </c>
      <c r="L36" s="7"/>
      <c r="M36" s="7"/>
      <c r="N36" s="11">
        <v>845.48955000000001</v>
      </c>
      <c r="O36" s="15">
        <v>-1781.2442000173371</v>
      </c>
      <c r="P36" s="11">
        <v>2626.7337500173371</v>
      </c>
      <c r="Q36" s="5">
        <v>6899730.1934801424</v>
      </c>
      <c r="V36" s="5">
        <v>2626.7337500173371</v>
      </c>
      <c r="Y36">
        <v>310.67607518240021</v>
      </c>
    </row>
    <row r="37" spans="1:25" x14ac:dyDescent="0.35">
      <c r="A37" s="37" t="s">
        <v>354</v>
      </c>
      <c r="B37" s="49">
        <v>1</v>
      </c>
      <c r="C37" s="11">
        <v>864.28330000000005</v>
      </c>
      <c r="D37" s="20">
        <v>0.10002048973118531</v>
      </c>
      <c r="E37" s="7">
        <v>5949</v>
      </c>
      <c r="F37">
        <v>2150</v>
      </c>
      <c r="G37" s="11">
        <v>2.7669767441860467</v>
      </c>
      <c r="H37" s="24">
        <v>260.02100000000002</v>
      </c>
      <c r="I37" s="7">
        <v>2102</v>
      </c>
      <c r="J37" s="6">
        <v>54.03</v>
      </c>
      <c r="K37" s="7">
        <v>826695.8</v>
      </c>
      <c r="L37" s="7"/>
      <c r="M37" s="7"/>
      <c r="N37" s="11">
        <v>864.28330000000005</v>
      </c>
      <c r="O37" s="15">
        <v>-1777.2835915227442</v>
      </c>
      <c r="P37" s="11">
        <v>2641.5668915227443</v>
      </c>
      <c r="Q37" s="5">
        <v>6977875.6423891336</v>
      </c>
      <c r="V37" s="5">
        <v>2641.5668915227443</v>
      </c>
      <c r="Y37">
        <v>305.63669245058236</v>
      </c>
    </row>
    <row r="38" spans="1:25" x14ac:dyDescent="0.35">
      <c r="A38" s="37"/>
      <c r="B38" s="49">
        <v>2</v>
      </c>
      <c r="C38" s="11">
        <v>879.21669999999995</v>
      </c>
      <c r="D38" s="20">
        <v>8.9748082746581775E-2</v>
      </c>
      <c r="E38" s="7">
        <v>5806</v>
      </c>
      <c r="F38">
        <v>2175</v>
      </c>
      <c r="G38" s="11">
        <v>2.6694252873563218</v>
      </c>
      <c r="H38" s="24">
        <v>212.2885</v>
      </c>
      <c r="I38" s="7">
        <v>2115.5</v>
      </c>
      <c r="J38" s="6">
        <v>53.1</v>
      </c>
      <c r="K38" s="7">
        <v>845489.55</v>
      </c>
      <c r="L38" s="7"/>
      <c r="M38" s="7"/>
      <c r="N38" s="11">
        <v>879.21669999999995</v>
      </c>
      <c r="O38" s="15">
        <v>-1717.9108790205403</v>
      </c>
      <c r="P38" s="11">
        <v>2597.12757902054</v>
      </c>
      <c r="Q38" s="5">
        <v>6745071.6617090916</v>
      </c>
      <c r="V38" s="5">
        <v>2597.12757902054</v>
      </c>
      <c r="Y38">
        <v>295.39106559515307</v>
      </c>
    </row>
    <row r="39" spans="1:25" x14ac:dyDescent="0.35">
      <c r="A39" s="37" t="s">
        <v>355</v>
      </c>
      <c r="B39" s="49">
        <v>1</v>
      </c>
      <c r="C39" s="11">
        <v>894.15009999999995</v>
      </c>
      <c r="D39" s="20">
        <v>7.947567576197824E-2</v>
      </c>
      <c r="E39" s="7">
        <v>5663</v>
      </c>
      <c r="F39">
        <v>2200</v>
      </c>
      <c r="G39" s="11">
        <v>2.5740909090909092</v>
      </c>
      <c r="H39" s="24">
        <v>164.55600000000001</v>
      </c>
      <c r="I39" s="7">
        <v>2129</v>
      </c>
      <c r="J39" s="6">
        <v>52.17</v>
      </c>
      <c r="K39" s="7">
        <v>864283.3</v>
      </c>
      <c r="L39" s="7"/>
      <c r="M39" s="7"/>
      <c r="N39" s="11">
        <v>894.15009999999995</v>
      </c>
      <c r="O39" s="15">
        <v>-1659.475896746909</v>
      </c>
      <c r="P39" s="11">
        <v>2553.6259967469091</v>
      </c>
      <c r="Q39" s="5">
        <v>6521005.7312616454</v>
      </c>
      <c r="V39" s="5">
        <v>2553.6259967469091</v>
      </c>
      <c r="Y39">
        <v>285.59254164898141</v>
      </c>
    </row>
    <row r="40" spans="1:25" x14ac:dyDescent="0.35">
      <c r="A40" s="37"/>
      <c r="B40" s="49">
        <v>2</v>
      </c>
      <c r="C40" s="11">
        <v>854.62304999999992</v>
      </c>
      <c r="D40" s="20">
        <v>-6.5443802255467101E-2</v>
      </c>
      <c r="E40" s="7">
        <v>5683</v>
      </c>
      <c r="F40">
        <v>2225</v>
      </c>
      <c r="G40" s="11">
        <v>2.5541573033707867</v>
      </c>
      <c r="H40" s="24">
        <v>171.464</v>
      </c>
      <c r="I40" s="7">
        <v>2325.5</v>
      </c>
      <c r="J40" s="6">
        <v>50.650000000000006</v>
      </c>
      <c r="K40" s="7">
        <v>879216.7</v>
      </c>
      <c r="L40" s="7"/>
      <c r="M40" s="7"/>
      <c r="N40" s="11">
        <v>854.62304999999992</v>
      </c>
      <c r="O40" s="15">
        <v>-1604.1902655201798</v>
      </c>
      <c r="P40" s="11">
        <v>2458.8133155201795</v>
      </c>
      <c r="Q40" s="5">
        <v>6045762.9205793375</v>
      </c>
      <c r="V40" s="5">
        <v>2458.8133155201795</v>
      </c>
      <c r="Y40">
        <v>287.70734834734213</v>
      </c>
    </row>
    <row r="41" spans="1:25" x14ac:dyDescent="0.35">
      <c r="A41" s="37" t="s">
        <v>356</v>
      </c>
      <c r="B41" s="49">
        <v>1</v>
      </c>
      <c r="C41" s="11">
        <v>815.096</v>
      </c>
      <c r="D41" s="20">
        <v>-0.21036328027291243</v>
      </c>
      <c r="E41" s="7">
        <v>5703</v>
      </c>
      <c r="F41">
        <v>2250</v>
      </c>
      <c r="G41" s="11">
        <v>2.5346666666666668</v>
      </c>
      <c r="H41" s="24">
        <v>178.37200000000001</v>
      </c>
      <c r="I41" s="7">
        <v>2522</v>
      </c>
      <c r="J41" s="6">
        <v>49.13</v>
      </c>
      <c r="K41" s="7">
        <v>894150.1</v>
      </c>
      <c r="L41" s="7"/>
      <c r="M41" s="7"/>
      <c r="N41" s="11">
        <v>815.096</v>
      </c>
      <c r="O41" s="15">
        <v>-1549.0919914053334</v>
      </c>
      <c r="P41" s="11">
        <v>2364.1879914053334</v>
      </c>
      <c r="Q41" s="5">
        <v>5589384.8587051844</v>
      </c>
      <c r="V41" s="5">
        <v>2364.1879914053334</v>
      </c>
      <c r="Y41">
        <v>290.05025069505103</v>
      </c>
    </row>
    <row r="42" spans="1:25" x14ac:dyDescent="0.35">
      <c r="A42" s="37"/>
      <c r="B42" s="49">
        <v>2</v>
      </c>
      <c r="C42" s="11">
        <v>835.47340000000008</v>
      </c>
      <c r="D42" s="20">
        <v>-5.0957296207004392E-2</v>
      </c>
      <c r="E42" s="7">
        <v>5546</v>
      </c>
      <c r="F42">
        <v>2325</v>
      </c>
      <c r="G42" s="11">
        <v>2.3853763440860214</v>
      </c>
      <c r="H42" s="24">
        <v>182.83099999999999</v>
      </c>
      <c r="I42" s="7">
        <v>2407.5</v>
      </c>
      <c r="J42" s="6">
        <v>49.695</v>
      </c>
      <c r="K42" s="7">
        <v>854623.05</v>
      </c>
      <c r="L42" s="7"/>
      <c r="M42" s="7"/>
      <c r="N42" s="11">
        <v>835.47340000000008</v>
      </c>
      <c r="O42" s="15">
        <v>-1530.2899413973978</v>
      </c>
      <c r="P42" s="11">
        <v>2365.7633413973981</v>
      </c>
      <c r="Q42" s="5">
        <v>5596836.1874997821</v>
      </c>
      <c r="V42" s="5">
        <v>2365.7633413973981</v>
      </c>
      <c r="Y42">
        <v>283.16441210425103</v>
      </c>
    </row>
    <row r="43" spans="1:25" x14ac:dyDescent="0.35">
      <c r="A43" s="37" t="s">
        <v>357</v>
      </c>
      <c r="B43" s="49">
        <v>1</v>
      </c>
      <c r="C43" s="11">
        <v>855.85080000000005</v>
      </c>
      <c r="D43" s="20">
        <v>0.10844868785890305</v>
      </c>
      <c r="E43" s="7">
        <v>5389</v>
      </c>
      <c r="F43">
        <v>2400</v>
      </c>
      <c r="G43" s="11">
        <v>2.2454166666666668</v>
      </c>
      <c r="H43" s="24">
        <v>187.29</v>
      </c>
      <c r="I43" s="7">
        <v>2293</v>
      </c>
      <c r="J43" s="6">
        <v>50.26</v>
      </c>
      <c r="K43" s="7">
        <v>815096</v>
      </c>
      <c r="L43" s="7"/>
      <c r="M43" s="7"/>
      <c r="N43" s="11">
        <v>855.85080000000005</v>
      </c>
      <c r="O43" s="15">
        <v>-1515.434358673333</v>
      </c>
      <c r="P43" s="11">
        <v>2371.2851586733332</v>
      </c>
      <c r="Q43" s="5">
        <v>5622993.3037444148</v>
      </c>
      <c r="V43" s="5">
        <v>2371.2851586733332</v>
      </c>
      <c r="Y43">
        <v>277.06758685898672</v>
      </c>
    </row>
    <row r="44" spans="1:25" x14ac:dyDescent="0.35">
      <c r="A44" s="53"/>
      <c r="B44" s="49">
        <v>2</v>
      </c>
      <c r="C44" s="11">
        <v>845.66210000000001</v>
      </c>
      <c r="D44" s="20">
        <v>2.7112171964725533E-2</v>
      </c>
      <c r="E44" s="7">
        <v>5467.5</v>
      </c>
      <c r="F44">
        <v>2362.5</v>
      </c>
      <c r="G44" s="11">
        <v>2.3142857142857145</v>
      </c>
      <c r="H44" s="24">
        <v>185.06049999999999</v>
      </c>
      <c r="I44" s="7">
        <v>2350.25</v>
      </c>
      <c r="J44" s="6">
        <v>49.977499999999999</v>
      </c>
      <c r="K44" s="7">
        <v>835473.4</v>
      </c>
      <c r="L44" s="7"/>
      <c r="M44" s="7"/>
      <c r="N44" s="11">
        <v>845.66210000000001</v>
      </c>
      <c r="O44" s="15">
        <v>-1521.7876656265717</v>
      </c>
      <c r="P44" s="11">
        <v>2367.4497656265717</v>
      </c>
      <c r="Q44" s="5">
        <v>5604818.3927653087</v>
      </c>
      <c r="V44" s="5">
        <v>2367.4497656265717</v>
      </c>
      <c r="Y44">
        <v>279.95221325711202</v>
      </c>
    </row>
    <row r="45" spans="1:25" x14ac:dyDescent="0.35">
      <c r="A45" s="54">
        <v>2021</v>
      </c>
      <c r="B45" s="49">
        <v>1</v>
      </c>
      <c r="C45" s="11">
        <v>894.18411000000003</v>
      </c>
      <c r="D45" s="20">
        <v>0.10200509316175174</v>
      </c>
      <c r="E45" s="7">
        <v>6145.8095238095202</v>
      </c>
      <c r="F45">
        <v>2389.69221835075</v>
      </c>
      <c r="G45" s="11">
        <v>2.5717996136134471</v>
      </c>
      <c r="H45" s="24">
        <v>279.30988269454201</v>
      </c>
      <c r="I45" s="7">
        <v>2207.0890824622502</v>
      </c>
      <c r="J45" s="6">
        <v>55.4684030197445</v>
      </c>
      <c r="K45" s="7">
        <v>855850.8</v>
      </c>
      <c r="L45" s="7"/>
      <c r="M45" s="7"/>
      <c r="N45" s="11">
        <v>894.18411000000003</v>
      </c>
      <c r="O45" s="15">
        <v>-1702.757769362518</v>
      </c>
      <c r="P45" s="11">
        <v>2596.9418793625182</v>
      </c>
      <c r="Q45" s="5">
        <v>6744107.1247869283</v>
      </c>
      <c r="V45" s="5">
        <v>2596.9418793625182</v>
      </c>
      <c r="Y45">
        <v>290.42585864811645</v>
      </c>
    </row>
    <row r="46" spans="1:25" x14ac:dyDescent="0.35">
      <c r="A46" s="54"/>
      <c r="B46" s="49">
        <v>2</v>
      </c>
      <c r="C46" s="11">
        <v>923.52228000000002</v>
      </c>
      <c r="D46" s="20">
        <v>0.20718625431747911</v>
      </c>
      <c r="E46" s="7">
        <v>6249.6766334440699</v>
      </c>
      <c r="F46">
        <v>2423.16904356751</v>
      </c>
      <c r="G46" s="11">
        <v>2.579133573051505</v>
      </c>
      <c r="H46" s="24">
        <v>283.45142098155196</v>
      </c>
      <c r="I46" s="7">
        <v>2209.6479877373499</v>
      </c>
      <c r="J46" s="6">
        <v>55.808015895524399</v>
      </c>
      <c r="K46" s="7">
        <v>845662.10000000009</v>
      </c>
      <c r="L46" s="7"/>
      <c r="M46" s="7"/>
      <c r="N46" s="11">
        <v>923.52228000000002</v>
      </c>
      <c r="O46" s="15">
        <v>-1723.2643638187342</v>
      </c>
      <c r="P46" s="11">
        <v>2646.7866438187343</v>
      </c>
      <c r="Q46" s="5">
        <v>7005479.5378972394</v>
      </c>
      <c r="V46" s="5">
        <v>2646.7866438187343</v>
      </c>
      <c r="Y46">
        <v>286.59694531882155</v>
      </c>
    </row>
    <row r="47" spans="1:25" x14ac:dyDescent="0.35">
      <c r="A47" s="54">
        <v>2022</v>
      </c>
      <c r="B47" s="49">
        <v>1</v>
      </c>
      <c r="C47" s="11">
        <v>952.86045000000001</v>
      </c>
      <c r="D47" s="20">
        <v>0.15613797838200305</v>
      </c>
      <c r="E47" s="7">
        <v>6353.5437430786296</v>
      </c>
      <c r="F47">
        <v>2456.6458687842701</v>
      </c>
      <c r="G47" s="11">
        <v>2.5862676520905445</v>
      </c>
      <c r="H47" s="24">
        <v>287.59295926856299</v>
      </c>
      <c r="I47" s="7">
        <v>2212.2068930124501</v>
      </c>
      <c r="J47" s="6">
        <v>56.147628771304298</v>
      </c>
      <c r="K47" s="7">
        <v>919832.86321353004</v>
      </c>
      <c r="L47" s="7"/>
      <c r="M47" s="7"/>
      <c r="N47" s="11">
        <v>952.86045000000001</v>
      </c>
      <c r="O47" s="15">
        <v>-1660.5923460757681</v>
      </c>
      <c r="P47" s="11">
        <v>2613.4527960757682</v>
      </c>
      <c r="Q47" s="5">
        <v>6830135.5173162511</v>
      </c>
      <c r="V47" s="5">
        <v>2613.4527960757682</v>
      </c>
      <c r="Y47">
        <v>274.2744539429429</v>
      </c>
    </row>
    <row r="48" spans="1:25" x14ac:dyDescent="0.35">
      <c r="A48" s="54"/>
      <c r="B48" s="49">
        <v>2</v>
      </c>
      <c r="C48" s="11">
        <v>982.19862000000001</v>
      </c>
      <c r="D48" s="20">
        <v>0.15613797838200305</v>
      </c>
      <c r="E48" s="7">
        <v>6457.4108527131802</v>
      </c>
      <c r="F48">
        <v>2490.1226940010201</v>
      </c>
      <c r="G48" s="11">
        <v>2.5932099122142835</v>
      </c>
      <c r="H48" s="24">
        <v>291.73449755557397</v>
      </c>
      <c r="I48" s="7">
        <v>2214.7657982875498</v>
      </c>
      <c r="J48" s="6">
        <v>56.487241647084197</v>
      </c>
      <c r="K48" s="7">
        <v>932608.77157857595</v>
      </c>
      <c r="L48" s="7"/>
      <c r="M48" s="7"/>
      <c r="N48" s="11">
        <v>982.19862000000001</v>
      </c>
      <c r="O48" s="15">
        <v>-1658.3131290905078</v>
      </c>
      <c r="P48" s="11">
        <v>2640.5117490905077</v>
      </c>
      <c r="Q48" s="5">
        <v>6972302.2970850123</v>
      </c>
      <c r="V48" s="5">
        <v>2640.5117490905077</v>
      </c>
      <c r="Y48">
        <v>268.83684168590133</v>
      </c>
    </row>
    <row r="49" spans="1:22" x14ac:dyDescent="0.35">
      <c r="A49" s="37" t="s">
        <v>358</v>
      </c>
      <c r="C49" s="12">
        <v>925.13808619047597</v>
      </c>
      <c r="D49" s="20">
        <v>0.21148592113442852</v>
      </c>
      <c r="P49" t="s">
        <v>315</v>
      </c>
      <c r="Q49" s="5">
        <v>219092468.42159611</v>
      </c>
      <c r="U49" t="s">
        <v>319</v>
      </c>
      <c r="V49" s="29">
        <v>96684.436694776945</v>
      </c>
    </row>
    <row r="50" spans="1:22" x14ac:dyDescent="0.35">
      <c r="A50" s="37" t="s">
        <v>359</v>
      </c>
      <c r="B50" s="56"/>
      <c r="C50" s="12">
        <v>951.12685593073502</v>
      </c>
      <c r="D50" s="20">
        <v>6.9156221534598494E-2</v>
      </c>
      <c r="P50" t="s">
        <v>316</v>
      </c>
      <c r="Q50" s="5">
        <v>10028548.504532829</v>
      </c>
    </row>
    <row r="51" spans="1:22" x14ac:dyDescent="0.35">
      <c r="A51" s="37" t="s">
        <v>360</v>
      </c>
      <c r="B51" s="56"/>
      <c r="C51" s="12">
        <v>977.11562567099497</v>
      </c>
      <c r="D51" s="20">
        <v>6.9156221534600909E-2</v>
      </c>
      <c r="P51" t="s">
        <v>317</v>
      </c>
      <c r="Q51" s="5">
        <v>3166.788358026603</v>
      </c>
    </row>
    <row r="52" spans="1:22" x14ac:dyDescent="0.35">
      <c r="A52" s="37" t="s">
        <v>361</v>
      </c>
      <c r="B52" s="56"/>
      <c r="C52" s="12">
        <v>1003.10439541126</v>
      </c>
      <c r="D52" s="20">
        <v>6.9156221534614523E-2</v>
      </c>
      <c r="P52" t="s">
        <v>320</v>
      </c>
      <c r="Q52" s="5">
        <v>4604.0207949893784</v>
      </c>
    </row>
    <row r="53" spans="1:22" x14ac:dyDescent="0.35">
      <c r="A53" s="37" t="s">
        <v>362</v>
      </c>
      <c r="B53" s="56"/>
      <c r="C53" s="12">
        <v>1029.09316515152</v>
      </c>
      <c r="D53" s="20">
        <v>6.9156221534600909E-2</v>
      </c>
    </row>
    <row r="54" spans="1:22" x14ac:dyDescent="0.35">
      <c r="D54" s="16">
        <v>7.4123578502580251E-2</v>
      </c>
    </row>
    <row r="55" spans="1:22" x14ac:dyDescent="0.35">
      <c r="F55" t="s">
        <v>310</v>
      </c>
    </row>
    <row r="56" spans="1:22" x14ac:dyDescent="0.35">
      <c r="E56" s="26"/>
      <c r="F56" s="9" t="s">
        <v>70</v>
      </c>
    </row>
    <row r="57" spans="1:22" x14ac:dyDescent="0.35">
      <c r="F57" s="9"/>
    </row>
    <row r="58" spans="1:22" x14ac:dyDescent="0.35">
      <c r="F58" s="9"/>
      <c r="G58" s="25">
        <v>-422.95760000000001</v>
      </c>
    </row>
    <row r="59" spans="1:22" x14ac:dyDescent="0.35">
      <c r="F59" t="s">
        <v>71</v>
      </c>
      <c r="G59" s="26">
        <v>0.52687399999999995</v>
      </c>
    </row>
    <row r="60" spans="1:22" x14ac:dyDescent="0.35">
      <c r="F60" t="s">
        <v>72</v>
      </c>
      <c r="G60" s="25">
        <v>-6.8482000000000001E-2</v>
      </c>
    </row>
    <row r="61" spans="1:22" x14ac:dyDescent="0.35">
      <c r="F61" t="s">
        <v>73</v>
      </c>
      <c r="G61" s="25">
        <v>-27.606729999999999</v>
      </c>
    </row>
    <row r="62" spans="1:22" x14ac:dyDescent="0.35">
      <c r="F62" t="s">
        <v>74</v>
      </c>
      <c r="G62" s="25">
        <v>9.8499999999999998E-4</v>
      </c>
    </row>
    <row r="64" spans="1:22" x14ac:dyDescent="0.35">
      <c r="F64" t="s">
        <v>311</v>
      </c>
      <c r="G64" s="25">
        <v>77.277370000000005</v>
      </c>
    </row>
  </sheetData>
  <mergeCells count="1">
    <mergeCell ref="E1:G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E7F2-9265-4BDD-8552-EAB118A2026B}">
  <dimension ref="A1:C52"/>
  <sheetViews>
    <sheetView workbookViewId="0">
      <selection activeCell="A2" sqref="A2"/>
    </sheetView>
  </sheetViews>
  <sheetFormatPr defaultRowHeight="14.5" x14ac:dyDescent="0.35"/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 s="11">
        <f>'Persamaan 1'!C3</f>
        <v>375.798</v>
      </c>
      <c r="C2">
        <f>'Persamaan 1'!O3</f>
        <v>-1304.144290086</v>
      </c>
    </row>
    <row r="3" spans="1:3" x14ac:dyDescent="0.35">
      <c r="A3">
        <v>2000</v>
      </c>
      <c r="B3" s="11">
        <f>'Persamaan 1'!C4</f>
        <v>377.77300000000002</v>
      </c>
      <c r="C3">
        <f>'Persamaan 1'!O4</f>
        <v>-1357.8085065505115</v>
      </c>
    </row>
    <row r="4" spans="1:3" x14ac:dyDescent="0.35">
      <c r="A4">
        <v>2001</v>
      </c>
      <c r="B4" s="11">
        <f>'Persamaan 1'!C5</f>
        <v>379.74799999999999</v>
      </c>
      <c r="C4">
        <f>'Persamaan 1'!O5</f>
        <v>-1410.587462922</v>
      </c>
    </row>
    <row r="5" spans="1:3" x14ac:dyDescent="0.35">
      <c r="A5">
        <v>2001</v>
      </c>
      <c r="B5" s="11">
        <f>'Persamaan 1'!C6</f>
        <v>399.44799999999998</v>
      </c>
      <c r="C5">
        <f>'Persamaan 1'!O6</f>
        <v>-1484.1544231979997</v>
      </c>
    </row>
    <row r="6" spans="1:3" x14ac:dyDescent="0.35">
      <c r="A6">
        <v>2002</v>
      </c>
      <c r="B6" s="11">
        <f>'Persamaan 1'!C7</f>
        <v>419.14800000000002</v>
      </c>
      <c r="C6">
        <f>'Persamaan 1'!O7</f>
        <v>-1557.3903731783478</v>
      </c>
    </row>
    <row r="7" spans="1:3" x14ac:dyDescent="0.35">
      <c r="A7">
        <v>2002</v>
      </c>
      <c r="B7" s="11">
        <f>'Persamaan 1'!C8</f>
        <v>428.79349999999999</v>
      </c>
      <c r="C7">
        <f>'Persamaan 1'!O8</f>
        <v>-1599.2577618127448</v>
      </c>
    </row>
    <row r="8" spans="1:3" x14ac:dyDescent="0.35">
      <c r="A8">
        <v>2003</v>
      </c>
      <c r="B8" s="11">
        <f>'Persamaan 1'!C9</f>
        <v>438.43900000000002</v>
      </c>
      <c r="C8">
        <f>'Persamaan 1'!O9</f>
        <v>-1639.5597638933332</v>
      </c>
    </row>
    <row r="9" spans="1:3" x14ac:dyDescent="0.35">
      <c r="A9">
        <v>2003</v>
      </c>
      <c r="B9" s="11">
        <f>'Persamaan 1'!C10</f>
        <v>455.95749999999998</v>
      </c>
      <c r="C9">
        <f>'Persamaan 1'!O10</f>
        <v>-1720.2198339437348</v>
      </c>
    </row>
    <row r="10" spans="1:3" x14ac:dyDescent="0.35">
      <c r="A10">
        <v>2004</v>
      </c>
      <c r="B10" s="11">
        <f>'Persamaan 1'!C11</f>
        <v>473.476</v>
      </c>
      <c r="C10">
        <f>'Persamaan 1'!O11</f>
        <v>-1800.0716809339997</v>
      </c>
    </row>
    <row r="11" spans="1:3" x14ac:dyDescent="0.35">
      <c r="A11">
        <v>2004</v>
      </c>
      <c r="B11" s="11">
        <f>'Persamaan 1'!C12</f>
        <v>486.99</v>
      </c>
      <c r="C11">
        <f>'Persamaan 1'!O12</f>
        <v>-1818.5948265821762</v>
      </c>
    </row>
    <row r="12" spans="1:3" x14ac:dyDescent="0.35">
      <c r="A12">
        <v>2005</v>
      </c>
      <c r="B12" s="11">
        <f>'Persamaan 1'!C13</f>
        <v>500.50400000000002</v>
      </c>
      <c r="C12">
        <f>'Persamaan 1'!O13</f>
        <v>-1837.4410276279998</v>
      </c>
    </row>
    <row r="13" spans="1:3" x14ac:dyDescent="0.35">
      <c r="A13">
        <v>2005</v>
      </c>
      <c r="B13" s="11">
        <f>'Persamaan 1'!C14</f>
        <v>511.47550000000001</v>
      </c>
      <c r="C13">
        <f>'Persamaan 1'!O14</f>
        <v>-1791.9507687373964</v>
      </c>
    </row>
    <row r="14" spans="1:3" x14ac:dyDescent="0.35">
      <c r="A14">
        <v>2006</v>
      </c>
      <c r="B14" s="11">
        <f>'Persamaan 1'!C15</f>
        <v>522.447</v>
      </c>
      <c r="C14">
        <f>'Persamaan 1'!O15</f>
        <v>-1746.7424361081485</v>
      </c>
    </row>
    <row r="15" spans="1:3" x14ac:dyDescent="0.35">
      <c r="A15">
        <v>2006</v>
      </c>
      <c r="B15" s="11">
        <f>'Persamaan 1'!C16</f>
        <v>546.71399999999994</v>
      </c>
      <c r="C15">
        <f>'Persamaan 1'!O16</f>
        <v>-1749.6709846942729</v>
      </c>
    </row>
    <row r="16" spans="1:3" x14ac:dyDescent="0.35">
      <c r="A16">
        <v>2007</v>
      </c>
      <c r="B16" s="11">
        <f>'Persamaan 1'!C17</f>
        <v>570.98099999999999</v>
      </c>
      <c r="C16">
        <f>'Persamaan 1'!O17</f>
        <v>-1751.7202534597141</v>
      </c>
    </row>
    <row r="17" spans="1:3" x14ac:dyDescent="0.35">
      <c r="A17">
        <v>2007</v>
      </c>
      <c r="B17" s="11">
        <f>'Persamaan 1'!C18</f>
        <v>593.46299999999997</v>
      </c>
      <c r="C17">
        <f>'Persamaan 1'!O18</f>
        <v>-1764.2575291421931</v>
      </c>
    </row>
    <row r="18" spans="1:3" x14ac:dyDescent="0.35">
      <c r="A18">
        <v>2008</v>
      </c>
      <c r="B18" s="11">
        <f>'Persamaan 1'!C19</f>
        <v>615.94500000000005</v>
      </c>
      <c r="C18">
        <f>'Persamaan 1'!O19</f>
        <v>-1776.6650408042758</v>
      </c>
    </row>
    <row r="19" spans="1:3" x14ac:dyDescent="0.35">
      <c r="A19">
        <v>2008</v>
      </c>
      <c r="B19" s="11">
        <f>'Persamaan 1'!C20</f>
        <v>638.06100000000004</v>
      </c>
      <c r="C19">
        <f>'Persamaan 1'!O20</f>
        <v>-1782.980500404949</v>
      </c>
    </row>
    <row r="20" spans="1:3" x14ac:dyDescent="0.35">
      <c r="A20">
        <v>2009</v>
      </c>
      <c r="B20" s="11">
        <f>'Persamaan 1'!C21</f>
        <v>660.17700000000002</v>
      </c>
      <c r="C20">
        <f>'Persamaan 1'!O21</f>
        <v>-1788.7105926200002</v>
      </c>
    </row>
    <row r="21" spans="1:3" x14ac:dyDescent="0.35">
      <c r="A21">
        <v>2009</v>
      </c>
      <c r="B21" s="11">
        <f>'Persamaan 1'!C22</f>
        <v>674.28899999999999</v>
      </c>
      <c r="C21">
        <f>'Persamaan 1'!O22</f>
        <v>-1657.3670628481746</v>
      </c>
    </row>
    <row r="22" spans="1:3" x14ac:dyDescent="0.35">
      <c r="A22">
        <v>2010</v>
      </c>
      <c r="B22" s="11">
        <f>'Persamaan 1'!C23</f>
        <v>688.40099999999995</v>
      </c>
      <c r="C22">
        <f>'Persamaan 1'!O23</f>
        <v>-1528.4746120396974</v>
      </c>
    </row>
    <row r="23" spans="1:3" x14ac:dyDescent="0.35">
      <c r="A23">
        <v>2010</v>
      </c>
      <c r="B23" s="11">
        <f>'Persamaan 1'!C24</f>
        <v>695.78449999999998</v>
      </c>
      <c r="C23">
        <f>'Persamaan 1'!O24</f>
        <v>-1525.8432911909999</v>
      </c>
    </row>
    <row r="24" spans="1:3" x14ac:dyDescent="0.35">
      <c r="A24">
        <v>2011</v>
      </c>
      <c r="B24" s="11">
        <f>'Persamaan 1'!C25</f>
        <v>703.16800000000001</v>
      </c>
      <c r="C24">
        <f>'Persamaan 1'!O25</f>
        <v>-1523.1284748414121</v>
      </c>
    </row>
    <row r="25" spans="1:3" x14ac:dyDescent="0.35">
      <c r="A25">
        <v>2011</v>
      </c>
      <c r="B25" s="11">
        <f>'Persamaan 1'!C26</f>
        <v>708.73749999999995</v>
      </c>
      <c r="C25">
        <f>'Persamaan 1'!O26</f>
        <v>-1561.9369640796058</v>
      </c>
    </row>
    <row r="26" spans="1:3" x14ac:dyDescent="0.35">
      <c r="A26">
        <v>2012</v>
      </c>
      <c r="B26" s="11">
        <f>'Persamaan 1'!C27</f>
        <v>714.30700000000002</v>
      </c>
      <c r="C26">
        <f>'Persamaan 1'!O27</f>
        <v>-1601.0500350687566</v>
      </c>
    </row>
    <row r="27" spans="1:3" x14ac:dyDescent="0.35">
      <c r="A27">
        <v>2012</v>
      </c>
      <c r="B27" s="11">
        <f>'Persamaan 1'!C28</f>
        <v>705.82550000000003</v>
      </c>
      <c r="C27">
        <f>'Persamaan 1'!O28</f>
        <v>-1650.1800250486663</v>
      </c>
    </row>
    <row r="28" spans="1:3" x14ac:dyDescent="0.35">
      <c r="A28">
        <v>2013</v>
      </c>
      <c r="B28" s="11">
        <f>'Persamaan 1'!C29</f>
        <v>697.34400000000005</v>
      </c>
      <c r="C28">
        <f>'Persamaan 1'!O29</f>
        <v>-1698.0317164309467</v>
      </c>
    </row>
    <row r="29" spans="1:3" x14ac:dyDescent="0.35">
      <c r="A29">
        <v>2013</v>
      </c>
      <c r="B29" s="11">
        <f>'Persamaan 1'!C30</f>
        <v>687.03400000000011</v>
      </c>
      <c r="C29">
        <f>'Persamaan 1'!O30</f>
        <v>-1716.6709729034801</v>
      </c>
    </row>
    <row r="30" spans="1:3" x14ac:dyDescent="0.35">
      <c r="A30">
        <v>2014</v>
      </c>
      <c r="B30" s="11">
        <f>'Persamaan 1'!C31</f>
        <v>676.72400000000005</v>
      </c>
      <c r="C30">
        <f>'Persamaan 1'!O31</f>
        <v>-1734.7656039159997</v>
      </c>
    </row>
    <row r="31" spans="1:3" x14ac:dyDescent="0.35">
      <c r="A31">
        <v>2014</v>
      </c>
      <c r="B31" s="11">
        <f>'Persamaan 1'!C32</f>
        <v>704.26750000000004</v>
      </c>
      <c r="C31">
        <f>'Persamaan 1'!O32</f>
        <v>-1749.055686317</v>
      </c>
    </row>
    <row r="32" spans="1:3" x14ac:dyDescent="0.35">
      <c r="A32">
        <v>2015</v>
      </c>
      <c r="B32" s="11">
        <f>'Persamaan 1'!C33</f>
        <v>731.81100000000004</v>
      </c>
      <c r="C32">
        <f>'Persamaan 1'!O33</f>
        <v>-1763.3457687179998</v>
      </c>
    </row>
    <row r="33" spans="1:3" x14ac:dyDescent="0.35">
      <c r="A33">
        <v>2015</v>
      </c>
      <c r="B33" s="11">
        <f>'Persamaan 1'!C34</f>
        <v>779.25340000000006</v>
      </c>
      <c r="C33">
        <f>'Persamaan 1'!O34</f>
        <v>-1773.5163274240631</v>
      </c>
    </row>
    <row r="34" spans="1:3" x14ac:dyDescent="0.35">
      <c r="A34">
        <v>2016</v>
      </c>
      <c r="B34" s="11">
        <f>'Persamaan 1'!C35</f>
        <v>826.69580000000008</v>
      </c>
      <c r="C34">
        <f>'Persamaan 1'!O35</f>
        <v>-1783.6076073199997</v>
      </c>
    </row>
    <row r="35" spans="1:3" x14ac:dyDescent="0.35">
      <c r="A35">
        <v>2016</v>
      </c>
      <c r="B35" s="11">
        <f>'Persamaan 1'!C36</f>
        <v>845.48955000000001</v>
      </c>
      <c r="C35">
        <f>'Persamaan 1'!O36</f>
        <v>-1781.2442000173371</v>
      </c>
    </row>
    <row r="36" spans="1:3" x14ac:dyDescent="0.35">
      <c r="A36">
        <v>2017</v>
      </c>
      <c r="B36" s="11">
        <f>'Persamaan 1'!C37</f>
        <v>864.28330000000005</v>
      </c>
      <c r="C36">
        <f>'Persamaan 1'!O37</f>
        <v>-1777.2835915227442</v>
      </c>
    </row>
    <row r="37" spans="1:3" x14ac:dyDescent="0.35">
      <c r="A37">
        <v>2017</v>
      </c>
      <c r="B37" s="11">
        <f>'Persamaan 1'!C38</f>
        <v>879.21669999999995</v>
      </c>
      <c r="C37">
        <f>'Persamaan 1'!O38</f>
        <v>-1717.9108790205403</v>
      </c>
    </row>
    <row r="38" spans="1:3" x14ac:dyDescent="0.35">
      <c r="A38">
        <v>2018</v>
      </c>
      <c r="B38" s="11">
        <f>'Persamaan 1'!C39</f>
        <v>894.15009999999995</v>
      </c>
      <c r="C38">
        <f>'Persamaan 1'!O39</f>
        <v>-1659.475896746909</v>
      </c>
    </row>
    <row r="39" spans="1:3" x14ac:dyDescent="0.35">
      <c r="A39">
        <v>2018</v>
      </c>
      <c r="B39" s="11">
        <f>'Persamaan 1'!C40</f>
        <v>854.62304999999992</v>
      </c>
      <c r="C39">
        <f>'Persamaan 1'!O40</f>
        <v>-1604.1902655201798</v>
      </c>
    </row>
    <row r="40" spans="1:3" x14ac:dyDescent="0.35">
      <c r="A40">
        <v>2019</v>
      </c>
      <c r="B40" s="11">
        <f>'Persamaan 1'!C41</f>
        <v>815.096</v>
      </c>
      <c r="C40">
        <f>'Persamaan 1'!O41</f>
        <v>-1549.0919914053334</v>
      </c>
    </row>
    <row r="41" spans="1:3" x14ac:dyDescent="0.35">
      <c r="A41">
        <v>2019</v>
      </c>
      <c r="B41" s="11">
        <f>'Persamaan 1'!C42</f>
        <v>835.47340000000008</v>
      </c>
      <c r="C41">
        <f>'Persamaan 1'!O42</f>
        <v>-1530.2899413973978</v>
      </c>
    </row>
    <row r="42" spans="1:3" x14ac:dyDescent="0.35">
      <c r="A42">
        <v>2020</v>
      </c>
      <c r="B42" s="11">
        <f>'Persamaan 1'!C43</f>
        <v>855.85080000000005</v>
      </c>
      <c r="C42">
        <f>'Persamaan 1'!O43</f>
        <v>-1515.434358673333</v>
      </c>
    </row>
    <row r="43" spans="1:3" x14ac:dyDescent="0.35">
      <c r="A43">
        <v>2020</v>
      </c>
      <c r="B43" s="11">
        <f>'Persamaan 1'!C44</f>
        <v>845.66210000000001</v>
      </c>
      <c r="C43">
        <f>'Persamaan 1'!O44</f>
        <v>-1521.7876656265717</v>
      </c>
    </row>
    <row r="44" spans="1:3" x14ac:dyDescent="0.35">
      <c r="A44">
        <v>2021</v>
      </c>
      <c r="B44" s="11">
        <f>'Persamaan 1'!C45</f>
        <v>894.18411000000003</v>
      </c>
      <c r="C44">
        <f>'Persamaan 1'!O45</f>
        <v>-1702.757769362518</v>
      </c>
    </row>
    <row r="45" spans="1:3" x14ac:dyDescent="0.35">
      <c r="A45">
        <v>2021</v>
      </c>
      <c r="B45" s="11">
        <f>'Persamaan 1'!C46</f>
        <v>923.52228000000002</v>
      </c>
      <c r="C45">
        <f>'Persamaan 1'!O46</f>
        <v>-1723.2643638187342</v>
      </c>
    </row>
    <row r="46" spans="1:3" x14ac:dyDescent="0.35">
      <c r="A46">
        <v>2022</v>
      </c>
      <c r="B46" s="11">
        <f>'Persamaan 1'!C47</f>
        <v>952.86045000000001</v>
      </c>
      <c r="C46">
        <f>'Persamaan 1'!O47</f>
        <v>-1660.5923460757681</v>
      </c>
    </row>
    <row r="47" spans="1:3" x14ac:dyDescent="0.35">
      <c r="A47">
        <v>2022</v>
      </c>
      <c r="B47" s="11">
        <f>'Persamaan 1'!C48</f>
        <v>982.19862000000001</v>
      </c>
      <c r="C47">
        <f>'Persamaan 1'!O48</f>
        <v>-1658.3131290905078</v>
      </c>
    </row>
    <row r="48" spans="1:3" x14ac:dyDescent="0.35">
      <c r="A48">
        <v>2023</v>
      </c>
      <c r="B48" s="11">
        <f>'Persamaan 1'!C49</f>
        <v>925.13808619047597</v>
      </c>
    </row>
    <row r="49" spans="1:2" x14ac:dyDescent="0.35">
      <c r="A49">
        <v>2024</v>
      </c>
      <c r="B49" s="11">
        <f>'Persamaan 1'!C50</f>
        <v>951.12685593073502</v>
      </c>
    </row>
    <row r="50" spans="1:2" x14ac:dyDescent="0.35">
      <c r="A50">
        <v>2025</v>
      </c>
      <c r="B50" s="11">
        <f>'Persamaan 1'!C51</f>
        <v>977.11562567099497</v>
      </c>
    </row>
    <row r="51" spans="1:2" x14ac:dyDescent="0.35">
      <c r="A51">
        <v>2026</v>
      </c>
      <c r="B51" s="11">
        <f>'Persamaan 1'!C52</f>
        <v>1003.10439541126</v>
      </c>
    </row>
    <row r="52" spans="1:2" x14ac:dyDescent="0.35">
      <c r="A52">
        <v>2027</v>
      </c>
      <c r="B52" s="11">
        <f>'Persamaan 1'!C53</f>
        <v>1029.09316515152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8059-3F83-48E2-BDC4-B65BB76E1351}">
  <dimension ref="A1:M20"/>
  <sheetViews>
    <sheetView topLeftCell="A17" workbookViewId="0">
      <selection activeCell="A12" sqref="A12:F20"/>
    </sheetView>
  </sheetViews>
  <sheetFormatPr defaultRowHeight="14.5" x14ac:dyDescent="0.35"/>
  <cols>
    <col min="2" max="2" width="13.26953125" customWidth="1"/>
    <col min="6" max="6" width="11" customWidth="1"/>
    <col min="8" max="8" width="12.90625" bestFit="1" customWidth="1"/>
    <col min="12" max="12" width="9.26953125" bestFit="1" customWidth="1"/>
  </cols>
  <sheetData>
    <row r="1" spans="1:13" ht="31.5" thickBot="1" x14ac:dyDescent="0.4">
      <c r="A1" s="70" t="s">
        <v>441</v>
      </c>
      <c r="B1" s="71" t="s">
        <v>442</v>
      </c>
    </row>
    <row r="2" spans="1:13" ht="15.5" x14ac:dyDescent="0.35">
      <c r="A2" s="76" t="s">
        <v>160</v>
      </c>
      <c r="B2" s="79">
        <v>-423.95800000000003</v>
      </c>
      <c r="G2" s="78" t="s">
        <v>81</v>
      </c>
      <c r="H2" s="77" t="s">
        <v>160</v>
      </c>
      <c r="I2" s="72" t="s">
        <v>155</v>
      </c>
      <c r="J2" s="72" t="s">
        <v>156</v>
      </c>
      <c r="K2" s="72" t="s">
        <v>82</v>
      </c>
      <c r="L2" s="77" t="s">
        <v>453</v>
      </c>
      <c r="M2" s="77"/>
    </row>
    <row r="3" spans="1:13" ht="14.5" customHeight="1" x14ac:dyDescent="0.35">
      <c r="A3" s="72" t="s">
        <v>155</v>
      </c>
      <c r="B3" s="72">
        <v>0.52680000000000005</v>
      </c>
      <c r="F3" t="s">
        <v>459</v>
      </c>
      <c r="G3" s="11">
        <f>AVERAGE('Persamaan 1'!C3:C48)</f>
        <v>670.25198173913043</v>
      </c>
      <c r="H3" s="11">
        <f>AVERAGE('Persamaan 1'!G3:G48)</f>
        <v>2.319263938407123</v>
      </c>
      <c r="I3" s="11">
        <f>AVERAGE('Persamaan 1'!H3:H48)</f>
        <v>198.54988609783103</v>
      </c>
      <c r="J3" s="11">
        <f>AVERAGE('Persamaan 1'!I3:I48)</f>
        <v>2157.190429597817</v>
      </c>
      <c r="K3" s="11">
        <f>AVERAGE('Persamaan 1'!J3:J48)</f>
        <v>48.845951942036031</v>
      </c>
      <c r="L3" s="11">
        <f>AVERAGE('Persamaan 1'!K3:K48)</f>
        <v>645150.83336504584</v>
      </c>
    </row>
    <row r="4" spans="1:13" ht="29" x14ac:dyDescent="0.35">
      <c r="A4" s="72" t="s">
        <v>156</v>
      </c>
      <c r="B4" s="72">
        <v>-6.8500000000000005E-2</v>
      </c>
      <c r="F4" s="80" t="s">
        <v>460</v>
      </c>
      <c r="H4">
        <f>H3/$G$3</f>
        <v>3.4602865811589746E-3</v>
      </c>
      <c r="I4">
        <f t="shared" ref="I4:L4" si="0">I3/$G$3</f>
        <v>0.29623170316131775</v>
      </c>
      <c r="J4">
        <f t="shared" si="0"/>
        <v>3.218476764515438</v>
      </c>
      <c r="K4">
        <f t="shared" si="0"/>
        <v>7.2876997417140682E-2</v>
      </c>
      <c r="L4">
        <f t="shared" si="0"/>
        <v>962.54968421137141</v>
      </c>
    </row>
    <row r="5" spans="1:13" ht="15.5" x14ac:dyDescent="0.35">
      <c r="A5" s="72" t="s">
        <v>82</v>
      </c>
      <c r="B5" s="73">
        <v>27.606999999999999</v>
      </c>
      <c r="F5" t="s">
        <v>461</v>
      </c>
      <c r="H5" s="81">
        <v>-423.95800000000003</v>
      </c>
      <c r="I5" s="72">
        <v>0.52680000000000005</v>
      </c>
      <c r="J5" s="72">
        <v>-6.8500000000000005E-2</v>
      </c>
      <c r="K5" s="73">
        <v>27607</v>
      </c>
      <c r="L5" s="77">
        <v>1E-3</v>
      </c>
    </row>
    <row r="6" spans="1:13" ht="15.5" x14ac:dyDescent="0.35">
      <c r="A6" s="77" t="s">
        <v>453</v>
      </c>
      <c r="B6" s="77">
        <v>1E-3</v>
      </c>
      <c r="F6" t="s">
        <v>462</v>
      </c>
      <c r="H6">
        <f>H5*H4</f>
        <v>-1.4670161783749966</v>
      </c>
      <c r="I6">
        <f t="shared" ref="I6:K6" si="1">I5*I4</f>
        <v>0.1560548612253822</v>
      </c>
      <c r="J6">
        <f t="shared" si="1"/>
        <v>-0.22046565836930751</v>
      </c>
      <c r="K6">
        <f t="shared" si="1"/>
        <v>2011.9152676950027</v>
      </c>
    </row>
    <row r="7" spans="1:13" ht="14.5" customHeight="1" thickBot="1" x14ac:dyDescent="0.4">
      <c r="A7" s="74" t="s">
        <v>456</v>
      </c>
      <c r="B7" s="75">
        <v>-77.277000000000001</v>
      </c>
      <c r="F7" t="s">
        <v>463</v>
      </c>
      <c r="H7">
        <f>H6/(1-$L$5)</f>
        <v>-1.4684846630380346</v>
      </c>
      <c r="I7">
        <f t="shared" ref="I7:K7" si="2">I6/(1-$L$5)</f>
        <v>0.15621107229767989</v>
      </c>
      <c r="J7">
        <f t="shared" si="2"/>
        <v>-0.22068634471402154</v>
      </c>
      <c r="K7">
        <f t="shared" si="2"/>
        <v>2013.9291968918947</v>
      </c>
    </row>
    <row r="8" spans="1:13" ht="14.5" customHeight="1" x14ac:dyDescent="0.35"/>
    <row r="12" spans="1:13" ht="31.5" customHeight="1" x14ac:dyDescent="0.35">
      <c r="A12" s="110" t="s">
        <v>441</v>
      </c>
      <c r="B12" s="110" t="s">
        <v>442</v>
      </c>
      <c r="C12" s="110" t="s">
        <v>443</v>
      </c>
      <c r="D12" s="112" t="s">
        <v>625</v>
      </c>
      <c r="E12" s="112"/>
      <c r="F12" s="110" t="s">
        <v>444</v>
      </c>
    </row>
    <row r="13" spans="1:13" ht="15.5" x14ac:dyDescent="0.35">
      <c r="A13" s="111"/>
      <c r="B13" s="111"/>
      <c r="C13" s="111"/>
      <c r="D13" s="105" t="s">
        <v>626</v>
      </c>
      <c r="E13" s="105" t="s">
        <v>627</v>
      </c>
      <c r="F13" s="111"/>
    </row>
    <row r="14" spans="1:13" ht="139.5" x14ac:dyDescent="0.35">
      <c r="A14" s="90" t="s">
        <v>160</v>
      </c>
      <c r="B14" s="91">
        <v>-423958</v>
      </c>
      <c r="C14" s="90">
        <v>2311</v>
      </c>
      <c r="D14" s="72">
        <v>-1.4670161783749966</v>
      </c>
      <c r="E14" s="72">
        <v>-1.4684846630380346</v>
      </c>
      <c r="F14" s="69" t="s">
        <v>644</v>
      </c>
    </row>
    <row r="15" spans="1:13" ht="93" x14ac:dyDescent="0.35">
      <c r="A15" s="67" t="s">
        <v>155</v>
      </c>
      <c r="B15" s="67" t="s">
        <v>445</v>
      </c>
      <c r="C15" s="67" t="s">
        <v>446</v>
      </c>
      <c r="D15" s="72">
        <v>0.1560548612253822</v>
      </c>
      <c r="E15" s="72">
        <v>0.15621107229767989</v>
      </c>
      <c r="F15" s="69" t="s">
        <v>447</v>
      </c>
    </row>
    <row r="16" spans="1:13" ht="108.5" x14ac:dyDescent="0.35">
      <c r="A16" s="67" t="s">
        <v>156</v>
      </c>
      <c r="B16" s="67" t="s">
        <v>448</v>
      </c>
      <c r="C16" s="67" t="s">
        <v>449</v>
      </c>
      <c r="D16" s="72">
        <v>-0.22046565836930751</v>
      </c>
      <c r="E16" s="72">
        <v>-0.22068634471402154</v>
      </c>
      <c r="F16" s="69" t="s">
        <v>450</v>
      </c>
    </row>
    <row r="17" spans="1:6" ht="93" x14ac:dyDescent="0.35">
      <c r="A17" s="67" t="s">
        <v>82</v>
      </c>
      <c r="B17" s="68">
        <v>27607</v>
      </c>
      <c r="C17" s="67" t="s">
        <v>451</v>
      </c>
      <c r="D17" s="72">
        <v>2011.9152676950027</v>
      </c>
      <c r="E17" s="72">
        <v>2013.9291968918947</v>
      </c>
      <c r="F17" s="69" t="s">
        <v>452</v>
      </c>
    </row>
    <row r="18" spans="1:6" ht="93" x14ac:dyDescent="0.35">
      <c r="A18" s="90" t="s">
        <v>453</v>
      </c>
      <c r="B18" s="90" t="s">
        <v>454</v>
      </c>
      <c r="C18" s="90" t="s">
        <v>455</v>
      </c>
      <c r="D18" s="90"/>
      <c r="E18" s="69"/>
      <c r="F18" s="69" t="s">
        <v>645</v>
      </c>
    </row>
    <row r="19" spans="1:6" ht="15.5" x14ac:dyDescent="0.35">
      <c r="A19" s="67" t="s">
        <v>456</v>
      </c>
      <c r="B19" s="68">
        <v>-77277</v>
      </c>
      <c r="C19" s="67" t="s">
        <v>457</v>
      </c>
      <c r="D19" s="69"/>
      <c r="E19" s="69"/>
      <c r="F19" s="69"/>
    </row>
    <row r="20" spans="1:6" ht="15.5" x14ac:dyDescent="0.35">
      <c r="A20" s="109" t="s">
        <v>458</v>
      </c>
      <c r="B20" s="109"/>
      <c r="C20" s="109"/>
      <c r="D20" s="109"/>
      <c r="E20" s="109"/>
      <c r="F20" s="109"/>
    </row>
  </sheetData>
  <mergeCells count="6">
    <mergeCell ref="A20:F20"/>
    <mergeCell ref="A12:A13"/>
    <mergeCell ref="B12:B13"/>
    <mergeCell ref="C12:C13"/>
    <mergeCell ref="D12:E12"/>
    <mergeCell ref="F12:F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9"/>
  <sheetViews>
    <sheetView workbookViewId="0">
      <selection activeCell="F3" sqref="F3"/>
    </sheetView>
  </sheetViews>
  <sheetFormatPr defaultRowHeight="14.5" x14ac:dyDescent="0.35"/>
  <cols>
    <col min="4" max="4" width="14.54296875" customWidth="1"/>
    <col min="6" max="6" width="14.81640625" customWidth="1"/>
    <col min="7" max="7" width="10.453125" customWidth="1"/>
    <col min="9" max="9" width="12.7265625" customWidth="1"/>
    <col min="10" max="10" width="12.453125" customWidth="1"/>
    <col min="12" max="12" width="11.26953125" bestFit="1" customWidth="1"/>
    <col min="13" max="13" width="12.7265625" bestFit="1" customWidth="1"/>
    <col min="14" max="14" width="24.1796875" bestFit="1" customWidth="1"/>
    <col min="15" max="15" width="22.7265625" customWidth="1"/>
  </cols>
  <sheetData>
    <row r="1" spans="1:15" x14ac:dyDescent="0.35">
      <c r="B1" t="s">
        <v>75</v>
      </c>
      <c r="D1" s="108" t="s">
        <v>70</v>
      </c>
      <c r="E1" s="108"/>
      <c r="F1" s="108"/>
      <c r="G1" t="s">
        <v>71</v>
      </c>
      <c r="H1" t="s">
        <v>76</v>
      </c>
      <c r="I1" t="s">
        <v>77</v>
      </c>
      <c r="J1" t="s">
        <v>74</v>
      </c>
      <c r="L1" t="s">
        <v>328</v>
      </c>
      <c r="M1" t="s">
        <v>327</v>
      </c>
      <c r="N1" t="s">
        <v>329</v>
      </c>
    </row>
    <row r="2" spans="1:15" ht="15.5" x14ac:dyDescent="0.35">
      <c r="D2" s="9" t="s">
        <v>67</v>
      </c>
      <c r="E2" s="8" t="s">
        <v>68</v>
      </c>
      <c r="F2" t="s">
        <v>69</v>
      </c>
    </row>
    <row r="3" spans="1:15" x14ac:dyDescent="0.35">
      <c r="A3" s="37" t="s">
        <v>337</v>
      </c>
      <c r="B3" s="6">
        <v>31.33</v>
      </c>
      <c r="C3" s="21"/>
      <c r="D3" s="7">
        <v>1890</v>
      </c>
      <c r="E3" s="7">
        <v>1050</v>
      </c>
      <c r="F3" s="14">
        <v>1.8</v>
      </c>
      <c r="G3" s="15">
        <v>61.811</v>
      </c>
      <c r="H3" s="13">
        <v>129</v>
      </c>
      <c r="I3" s="14">
        <v>32.06</v>
      </c>
      <c r="J3" s="13">
        <v>371848</v>
      </c>
      <c r="L3" s="6">
        <v>31.33</v>
      </c>
      <c r="M3" s="43">
        <v>-3016.6215362779999</v>
      </c>
      <c r="N3" s="6">
        <v>3047.9515362779998</v>
      </c>
      <c r="O3" s="5">
        <v>9290008.5674994197</v>
      </c>
    </row>
    <row r="4" spans="1:15" x14ac:dyDescent="0.35">
      <c r="A4" s="37"/>
      <c r="B4" s="6">
        <v>33.465000000000003</v>
      </c>
      <c r="C4" s="21"/>
      <c r="D4" s="7">
        <v>1984.5</v>
      </c>
      <c r="E4" s="7">
        <v>1075</v>
      </c>
      <c r="F4" s="14">
        <v>1.846046511627907</v>
      </c>
      <c r="G4" s="15">
        <v>66.429000000000002</v>
      </c>
      <c r="H4" s="13">
        <v>128</v>
      </c>
      <c r="I4" s="14">
        <v>31.695</v>
      </c>
      <c r="J4" s="13">
        <v>373823</v>
      </c>
      <c r="L4" s="6">
        <v>33.465000000000003</v>
      </c>
      <c r="M4" s="43">
        <v>-3033.2825444666514</v>
      </c>
      <c r="N4" s="6">
        <v>3066.7475444666516</v>
      </c>
      <c r="O4" s="5">
        <v>9404940.5014922377</v>
      </c>
    </row>
    <row r="5" spans="1:15" x14ac:dyDescent="0.35">
      <c r="A5" s="37" t="s">
        <v>338</v>
      </c>
      <c r="B5" s="6">
        <v>35.6</v>
      </c>
      <c r="C5" s="20">
        <v>0.13629109479731896</v>
      </c>
      <c r="D5" s="7">
        <v>2079</v>
      </c>
      <c r="E5" s="7">
        <v>1100</v>
      </c>
      <c r="F5" s="14">
        <v>1.89</v>
      </c>
      <c r="G5" s="15">
        <v>71.046999999999997</v>
      </c>
      <c r="H5" s="13">
        <v>127</v>
      </c>
      <c r="I5" s="14">
        <v>31.33</v>
      </c>
      <c r="J5" s="13">
        <v>375798</v>
      </c>
      <c r="L5" s="6">
        <v>35.6</v>
      </c>
      <c r="M5" s="43">
        <v>-3049.9311045460004</v>
      </c>
      <c r="N5" s="6">
        <v>3085.5311045460003</v>
      </c>
      <c r="O5" s="5">
        <v>9520502.1971208602</v>
      </c>
    </row>
    <row r="6" spans="1:15" x14ac:dyDescent="0.35">
      <c r="A6" s="37"/>
      <c r="B6" s="6">
        <v>37.19</v>
      </c>
      <c r="C6" s="20">
        <v>0.11889562719438221</v>
      </c>
      <c r="D6" s="7">
        <v>2146.5</v>
      </c>
      <c r="E6" s="7">
        <v>1125</v>
      </c>
      <c r="F6" s="14">
        <v>1.9079999999999999</v>
      </c>
      <c r="G6" s="15">
        <v>78.322999999999993</v>
      </c>
      <c r="H6" s="13">
        <v>128</v>
      </c>
      <c r="I6" s="14">
        <v>33.465000000000003</v>
      </c>
      <c r="J6" s="13">
        <v>377773</v>
      </c>
      <c r="L6" s="6">
        <v>37.19</v>
      </c>
      <c r="M6" s="43">
        <v>-3064.4838478340002</v>
      </c>
      <c r="N6" s="6">
        <v>3101.6738478340003</v>
      </c>
      <c r="O6" s="5">
        <v>9620380.6583373733</v>
      </c>
    </row>
    <row r="7" spans="1:15" x14ac:dyDescent="0.35">
      <c r="A7" s="37" t="s">
        <v>339</v>
      </c>
      <c r="B7" s="6">
        <v>38.78</v>
      </c>
      <c r="C7" s="20">
        <v>0.1015001595914459</v>
      </c>
      <c r="D7" s="7">
        <v>2214</v>
      </c>
      <c r="E7" s="7">
        <v>1150</v>
      </c>
      <c r="F7" s="14">
        <v>1.9252173913043478</v>
      </c>
      <c r="G7" s="15">
        <v>85.599000000000004</v>
      </c>
      <c r="H7" s="13">
        <v>129</v>
      </c>
      <c r="I7" s="14">
        <v>35.6</v>
      </c>
      <c r="J7" s="13">
        <v>379748</v>
      </c>
      <c r="L7" s="6">
        <v>38.78</v>
      </c>
      <c r="M7" s="43">
        <v>-3079.031936611565</v>
      </c>
      <c r="N7" s="6">
        <v>3117.8119366115652</v>
      </c>
      <c r="O7" s="5">
        <v>9720751.2720775586</v>
      </c>
    </row>
    <row r="8" spans="1:15" x14ac:dyDescent="0.35">
      <c r="A8" s="37"/>
      <c r="B8" s="6">
        <v>40.284999999999997</v>
      </c>
      <c r="C8" s="20">
        <v>9.8787105011171369E-2</v>
      </c>
      <c r="D8" s="7">
        <v>2366.5</v>
      </c>
      <c r="E8" s="7">
        <v>1175</v>
      </c>
      <c r="F8" s="14">
        <v>2.0140425531914894</v>
      </c>
      <c r="G8" s="15">
        <v>90.354500000000002</v>
      </c>
      <c r="H8" s="13">
        <v>127.5</v>
      </c>
      <c r="I8" s="14">
        <v>37.19</v>
      </c>
      <c r="J8" s="13">
        <v>399448</v>
      </c>
      <c r="L8" s="6">
        <v>40.284999999999997</v>
      </c>
      <c r="M8" s="43">
        <v>-3239.1435895231275</v>
      </c>
      <c r="N8" s="6">
        <v>3279.4285895231274</v>
      </c>
      <c r="O8" s="5">
        <v>10754651.873781649</v>
      </c>
    </row>
    <row r="9" spans="1:15" x14ac:dyDescent="0.35">
      <c r="A9" s="37" t="s">
        <v>340</v>
      </c>
      <c r="B9" s="6">
        <v>41.79</v>
      </c>
      <c r="C9" s="20">
        <v>9.607405043089684E-2</v>
      </c>
      <c r="D9" s="7">
        <v>2519</v>
      </c>
      <c r="E9" s="7">
        <v>1200</v>
      </c>
      <c r="F9" s="14">
        <v>2.0991666666666666</v>
      </c>
      <c r="G9" s="15">
        <v>95.11</v>
      </c>
      <c r="H9" s="13">
        <v>126</v>
      </c>
      <c r="I9" s="14">
        <v>38.78</v>
      </c>
      <c r="J9" s="13">
        <v>419148</v>
      </c>
      <c r="L9" s="6">
        <v>41.79</v>
      </c>
      <c r="M9" s="43">
        <v>-3399.2332307083334</v>
      </c>
      <c r="N9" s="6">
        <v>3441.0232307083334</v>
      </c>
      <c r="O9" s="5">
        <v>11840640.874274416</v>
      </c>
    </row>
    <row r="10" spans="1:15" x14ac:dyDescent="0.35">
      <c r="A10" s="37"/>
      <c r="B10" s="6">
        <v>44.64</v>
      </c>
      <c r="C10" s="20">
        <v>0.13900414937759351</v>
      </c>
      <c r="D10" s="7">
        <v>2630</v>
      </c>
      <c r="E10" s="7">
        <v>1225</v>
      </c>
      <c r="F10" s="14">
        <v>2.1469387755102041</v>
      </c>
      <c r="G10" s="15">
        <v>101.5945</v>
      </c>
      <c r="H10" s="13">
        <v>123</v>
      </c>
      <c r="I10" s="14">
        <v>40.284999999999997</v>
      </c>
      <c r="J10" s="13">
        <v>428793.5</v>
      </c>
      <c r="L10" s="6">
        <v>44.64</v>
      </c>
      <c r="M10" s="43">
        <v>-3477.094367402633</v>
      </c>
      <c r="N10" s="6">
        <v>3521.7343674026329</v>
      </c>
      <c r="O10" s="5">
        <v>12402612.954544824</v>
      </c>
    </row>
    <row r="11" spans="1:15" x14ac:dyDescent="0.35">
      <c r="A11" s="37" t="s">
        <v>341</v>
      </c>
      <c r="B11" s="6">
        <v>47.49</v>
      </c>
      <c r="C11" s="20">
        <v>0.18193424832428992</v>
      </c>
      <c r="D11" s="7">
        <v>2741</v>
      </c>
      <c r="E11" s="7">
        <v>1250</v>
      </c>
      <c r="F11" s="14">
        <v>2.1928000000000001</v>
      </c>
      <c r="G11" s="15">
        <v>108.07899999999999</v>
      </c>
      <c r="H11" s="13">
        <v>120</v>
      </c>
      <c r="I11" s="14">
        <v>41.79</v>
      </c>
      <c r="J11" s="13">
        <v>438439</v>
      </c>
      <c r="L11" s="6">
        <v>47.49</v>
      </c>
      <c r="M11" s="43">
        <v>-3554.9441392460003</v>
      </c>
      <c r="N11" s="6">
        <v>3602.4341392460001</v>
      </c>
      <c r="O11" s="5">
        <v>12977531.727605069</v>
      </c>
    </row>
    <row r="12" spans="1:15" x14ac:dyDescent="0.35">
      <c r="A12" s="37"/>
      <c r="B12" s="6">
        <v>48.534999999999997</v>
      </c>
      <c r="C12" s="20">
        <v>0.12432173635493125</v>
      </c>
      <c r="D12" s="7">
        <v>2770.5</v>
      </c>
      <c r="E12" s="7">
        <v>1275</v>
      </c>
      <c r="F12" s="14">
        <v>2.1729411764705882</v>
      </c>
      <c r="G12" s="15">
        <v>112.77849999999999</v>
      </c>
      <c r="H12" s="13">
        <v>123.5</v>
      </c>
      <c r="I12" s="14">
        <v>44.64</v>
      </c>
      <c r="J12" s="13">
        <v>455957.5</v>
      </c>
      <c r="L12" s="6">
        <v>48.534999999999997</v>
      </c>
      <c r="M12" s="43">
        <v>-3695.5988696541767</v>
      </c>
      <c r="N12" s="6">
        <v>3744.1338696541766</v>
      </c>
      <c r="O12" s="5">
        <v>14018538.433891559</v>
      </c>
    </row>
    <row r="13" spans="1:15" x14ac:dyDescent="0.35">
      <c r="A13" s="37" t="s">
        <v>342</v>
      </c>
      <c r="B13" s="6">
        <v>49.58</v>
      </c>
      <c r="C13" s="20">
        <v>6.6709224385572821E-2</v>
      </c>
      <c r="D13" s="7">
        <v>2800</v>
      </c>
      <c r="E13" s="7">
        <v>1300</v>
      </c>
      <c r="F13" s="14">
        <v>2.1538461538461537</v>
      </c>
      <c r="G13" s="15">
        <v>117.47799999999999</v>
      </c>
      <c r="H13" s="13">
        <v>127</v>
      </c>
      <c r="I13" s="14">
        <v>47.49</v>
      </c>
      <c r="J13" s="13">
        <v>473476</v>
      </c>
      <c r="L13" s="6">
        <v>49.58</v>
      </c>
      <c r="M13" s="43">
        <v>-3836.2581427147693</v>
      </c>
      <c r="N13" s="6">
        <v>3885.8381427147692</v>
      </c>
      <c r="O13" s="5">
        <v>15099738.071376966</v>
      </c>
    </row>
    <row r="14" spans="1:15" x14ac:dyDescent="0.35">
      <c r="A14" s="37"/>
      <c r="B14" s="6">
        <v>49.265000000000001</v>
      </c>
      <c r="C14" s="20">
        <v>2.3300351101181106E-2</v>
      </c>
      <c r="D14" s="7">
        <v>2830</v>
      </c>
      <c r="E14" s="7">
        <v>1325</v>
      </c>
      <c r="F14" s="14">
        <v>2.1358490566037736</v>
      </c>
      <c r="G14" s="15">
        <v>127.84399999999999</v>
      </c>
      <c r="H14" s="13">
        <v>126.5</v>
      </c>
      <c r="I14" s="14">
        <v>48.534999999999997</v>
      </c>
      <c r="J14" s="13">
        <v>486990</v>
      </c>
      <c r="L14" s="6">
        <v>49.265000000000001</v>
      </c>
      <c r="M14" s="43">
        <v>-3945.6208689467171</v>
      </c>
      <c r="N14" s="6">
        <v>3994.885868946717</v>
      </c>
      <c r="O14" s="5">
        <v>15959113.105910165</v>
      </c>
    </row>
    <row r="15" spans="1:15" x14ac:dyDescent="0.35">
      <c r="A15" s="37" t="s">
        <v>343</v>
      </c>
      <c r="B15" s="6">
        <v>48.95</v>
      </c>
      <c r="C15" s="20">
        <v>-2.0108522183210836E-2</v>
      </c>
      <c r="D15" s="7">
        <v>2860</v>
      </c>
      <c r="E15" s="7">
        <v>1350</v>
      </c>
      <c r="F15" s="14">
        <v>2.1185185185185187</v>
      </c>
      <c r="G15" s="15">
        <v>138.21</v>
      </c>
      <c r="H15" s="13">
        <v>126</v>
      </c>
      <c r="I15" s="14">
        <v>49.58</v>
      </c>
      <c r="J15" s="13">
        <v>500504</v>
      </c>
      <c r="L15" s="6">
        <v>48.95</v>
      </c>
      <c r="M15" s="43">
        <v>-4054.9875594925925</v>
      </c>
      <c r="N15" s="6">
        <v>4103.9375594925923</v>
      </c>
      <c r="O15" s="5">
        <v>16842303.492214013</v>
      </c>
    </row>
    <row r="16" spans="1:15" x14ac:dyDescent="0.35">
      <c r="A16" s="37"/>
      <c r="B16" s="6">
        <v>49.234999999999999</v>
      </c>
      <c r="C16" s="20">
        <v>-9.5754867539103543E-4</v>
      </c>
      <c r="D16" s="7">
        <v>2993</v>
      </c>
      <c r="E16" s="7">
        <v>1375</v>
      </c>
      <c r="F16" s="14">
        <v>2.1767272727272728</v>
      </c>
      <c r="G16" s="15">
        <v>156.5795</v>
      </c>
      <c r="H16" s="13">
        <v>123</v>
      </c>
      <c r="I16" s="14">
        <v>49.265000000000001</v>
      </c>
      <c r="J16" s="13">
        <v>511475.5</v>
      </c>
      <c r="L16" s="6">
        <v>49.234999999999999</v>
      </c>
      <c r="M16" s="43">
        <v>-4145.0714218546373</v>
      </c>
      <c r="N16" s="6">
        <v>4194.3064218546369</v>
      </c>
      <c r="O16" s="5">
        <v>17592206.360411048</v>
      </c>
    </row>
    <row r="17" spans="1:15" x14ac:dyDescent="0.35">
      <c r="A17" s="37" t="s">
        <v>344</v>
      </c>
      <c r="B17" s="6">
        <v>49.52</v>
      </c>
      <c r="C17" s="20">
        <v>1.8193424832428993E-2</v>
      </c>
      <c r="D17" s="7">
        <v>3126</v>
      </c>
      <c r="E17" s="7">
        <v>1400</v>
      </c>
      <c r="F17" s="14">
        <v>2.2328571428571427</v>
      </c>
      <c r="G17" s="15">
        <v>174.94900000000001</v>
      </c>
      <c r="H17" s="13">
        <v>120</v>
      </c>
      <c r="I17" s="14">
        <v>48.95</v>
      </c>
      <c r="J17" s="13">
        <v>522447</v>
      </c>
      <c r="L17" s="6">
        <v>49.52</v>
      </c>
      <c r="M17" s="43">
        <v>-4235.1429201991432</v>
      </c>
      <c r="N17" s="6">
        <v>4284.6629201991436</v>
      </c>
      <c r="O17" s="5">
        <v>18358336.339729454</v>
      </c>
    </row>
    <row r="18" spans="1:15" x14ac:dyDescent="0.35">
      <c r="A18" s="37"/>
      <c r="B18" s="6">
        <v>50.14</v>
      </c>
      <c r="C18" s="20">
        <v>2.8886051707628507E-2</v>
      </c>
      <c r="D18" s="7">
        <v>3194.5</v>
      </c>
      <c r="E18" s="7">
        <v>1425</v>
      </c>
      <c r="F18" s="14">
        <v>2.2417543859649123</v>
      </c>
      <c r="G18" s="15">
        <v>186.8775</v>
      </c>
      <c r="H18" s="13">
        <v>123.5</v>
      </c>
      <c r="I18" s="14">
        <v>49.234999999999999</v>
      </c>
      <c r="J18" s="13">
        <v>546714</v>
      </c>
      <c r="L18" s="6">
        <v>50.14</v>
      </c>
      <c r="M18" s="43">
        <v>-4432.9854364227194</v>
      </c>
      <c r="N18" s="6">
        <v>4483.1254364227198</v>
      </c>
      <c r="O18" s="5">
        <v>20098413.678700402</v>
      </c>
    </row>
    <row r="19" spans="1:15" x14ac:dyDescent="0.35">
      <c r="A19" s="37" t="s">
        <v>345</v>
      </c>
      <c r="B19" s="6">
        <v>50.76</v>
      </c>
      <c r="C19" s="20">
        <v>3.9578678582827799E-2</v>
      </c>
      <c r="D19" s="7">
        <v>3263</v>
      </c>
      <c r="E19" s="7">
        <v>1450</v>
      </c>
      <c r="F19" s="14">
        <v>2.2503448275862068</v>
      </c>
      <c r="G19" s="15">
        <v>198.80600000000001</v>
      </c>
      <c r="H19" s="13">
        <v>127</v>
      </c>
      <c r="I19" s="14">
        <v>49.52</v>
      </c>
      <c r="J19" s="13">
        <v>570981</v>
      </c>
      <c r="L19" s="6">
        <v>50.76</v>
      </c>
      <c r="M19" s="43">
        <v>-4630.8261279659318</v>
      </c>
      <c r="N19" s="6">
        <v>4681.5861279659321</v>
      </c>
      <c r="O19" s="5">
        <v>21917248.673563048</v>
      </c>
    </row>
    <row r="20" spans="1:15" x14ac:dyDescent="0.35">
      <c r="A20" s="37"/>
      <c r="B20" s="6">
        <v>51.47</v>
      </c>
      <c r="C20" s="20">
        <v>4.2451324609000904E-2</v>
      </c>
      <c r="D20" s="7">
        <v>3380.5</v>
      </c>
      <c r="E20" s="7">
        <v>1475</v>
      </c>
      <c r="F20" s="14">
        <v>2.291864406779661</v>
      </c>
      <c r="G20" s="15">
        <v>206.28800000000001</v>
      </c>
      <c r="H20" s="13">
        <v>129.5</v>
      </c>
      <c r="I20" s="14">
        <v>50.14</v>
      </c>
      <c r="J20" s="13">
        <v>593463</v>
      </c>
      <c r="L20" s="6">
        <v>51.47</v>
      </c>
      <c r="M20" s="43">
        <v>-4814.064195692813</v>
      </c>
      <c r="N20" s="6">
        <v>4865.5341956928132</v>
      </c>
      <c r="O20" s="5">
        <v>23673423.009456109</v>
      </c>
    </row>
    <row r="21" spans="1:15" x14ac:dyDescent="0.35">
      <c r="A21" s="37" t="s">
        <v>346</v>
      </c>
      <c r="B21" s="6">
        <v>52.18</v>
      </c>
      <c r="C21" s="20">
        <v>4.5323970635174009E-2</v>
      </c>
      <c r="D21" s="7">
        <v>3498</v>
      </c>
      <c r="E21" s="7">
        <v>1500</v>
      </c>
      <c r="F21" s="14">
        <v>2.3319999999999999</v>
      </c>
      <c r="G21" s="15">
        <v>213.77</v>
      </c>
      <c r="H21" s="13">
        <v>132</v>
      </c>
      <c r="I21" s="14">
        <v>50.76</v>
      </c>
      <c r="J21" s="13">
        <v>615945</v>
      </c>
      <c r="L21" s="6">
        <v>52.18</v>
      </c>
      <c r="M21" s="43">
        <v>-4997.2940322599998</v>
      </c>
      <c r="N21" s="6">
        <v>5049.4740322600001</v>
      </c>
      <c r="O21" s="5">
        <v>25497188.002468064</v>
      </c>
    </row>
    <row r="22" spans="1:15" x14ac:dyDescent="0.35">
      <c r="A22" s="37"/>
      <c r="B22" s="6">
        <v>50.064999999999998</v>
      </c>
      <c r="C22" s="20">
        <v>-4.4845196297478497E-2</v>
      </c>
      <c r="D22" s="7">
        <v>3572.5</v>
      </c>
      <c r="E22" s="7">
        <v>1575</v>
      </c>
      <c r="F22" s="14">
        <v>2.2682539682539682</v>
      </c>
      <c r="G22" s="15">
        <v>237.23249999999999</v>
      </c>
      <c r="H22" s="13">
        <v>126</v>
      </c>
      <c r="I22" s="14">
        <v>51.47</v>
      </c>
      <c r="J22" s="13">
        <v>638061</v>
      </c>
      <c r="L22" s="6">
        <v>50.064999999999998</v>
      </c>
      <c r="M22" s="43">
        <v>-5176.8398796634128</v>
      </c>
      <c r="N22" s="6">
        <v>5226.9048796634124</v>
      </c>
      <c r="O22" s="5">
        <v>27320534.621049192</v>
      </c>
    </row>
    <row r="23" spans="1:15" x14ac:dyDescent="0.35">
      <c r="A23" s="37" t="s">
        <v>347</v>
      </c>
      <c r="B23" s="6">
        <v>47.95</v>
      </c>
      <c r="C23" s="20">
        <v>-0.13501436323013077</v>
      </c>
      <c r="D23" s="7">
        <v>3647</v>
      </c>
      <c r="E23" s="7">
        <v>1650</v>
      </c>
      <c r="F23" s="14">
        <v>2.2103030303030304</v>
      </c>
      <c r="G23" s="15">
        <v>260.69499999999999</v>
      </c>
      <c r="H23" s="13">
        <v>120</v>
      </c>
      <c r="I23" s="14">
        <v>52.18</v>
      </c>
      <c r="J23" s="13">
        <v>660177</v>
      </c>
      <c r="L23" s="6">
        <v>47.95</v>
      </c>
      <c r="M23" s="43">
        <v>-5356.4201929815154</v>
      </c>
      <c r="N23" s="6">
        <v>5404.3701929815152</v>
      </c>
      <c r="O23" s="5">
        <v>29207217.182787061</v>
      </c>
    </row>
    <row r="24" spans="1:15" x14ac:dyDescent="0.35">
      <c r="A24" s="37"/>
      <c r="B24" s="6">
        <v>48.44</v>
      </c>
      <c r="C24" s="20">
        <v>-5.1867219917012451E-2</v>
      </c>
      <c r="D24" s="7">
        <v>3713.5</v>
      </c>
      <c r="E24" s="7">
        <v>1675</v>
      </c>
      <c r="F24" s="14">
        <v>2.2170149253731344</v>
      </c>
      <c r="G24" s="15">
        <v>275.17849999999999</v>
      </c>
      <c r="H24" s="13">
        <v>122.5</v>
      </c>
      <c r="I24" s="14">
        <v>50.064999999999998</v>
      </c>
      <c r="J24" s="13">
        <v>674289</v>
      </c>
      <c r="L24" s="6">
        <v>48.44</v>
      </c>
      <c r="M24" s="43">
        <v>-5473.1868725906124</v>
      </c>
      <c r="N24" s="6">
        <v>5521.626872590612</v>
      </c>
      <c r="O24" s="5">
        <v>30488363.320114784</v>
      </c>
    </row>
    <row r="25" spans="1:15" x14ac:dyDescent="0.35">
      <c r="A25" s="37" t="s">
        <v>348</v>
      </c>
      <c r="B25" s="6">
        <v>48.93</v>
      </c>
      <c r="C25" s="20">
        <v>3.1279923396105871E-2</v>
      </c>
      <c r="D25" s="7">
        <v>3780</v>
      </c>
      <c r="E25" s="7">
        <v>1700</v>
      </c>
      <c r="F25" s="14">
        <v>2.223529411764706</v>
      </c>
      <c r="G25" s="15">
        <v>289.66199999999998</v>
      </c>
      <c r="H25" s="13">
        <v>125</v>
      </c>
      <c r="I25" s="14">
        <v>47.95</v>
      </c>
      <c r="J25" s="13">
        <v>688401</v>
      </c>
      <c r="L25" s="6">
        <v>48.93</v>
      </c>
      <c r="M25" s="43">
        <v>-5589.952378125412</v>
      </c>
      <c r="N25" s="6">
        <v>5638.8823781254123</v>
      </c>
      <c r="O25" s="5">
        <v>31796994.474333305</v>
      </c>
    </row>
    <row r="26" spans="1:15" x14ac:dyDescent="0.35">
      <c r="A26" s="37"/>
      <c r="B26" s="6">
        <v>49.33</v>
      </c>
      <c r="C26" s="20">
        <v>2.8407277369932992E-2</v>
      </c>
      <c r="D26" s="7">
        <v>3931</v>
      </c>
      <c r="E26" s="7">
        <v>1775</v>
      </c>
      <c r="F26" s="14">
        <v>2.2146478873239435</v>
      </c>
      <c r="G26" s="15">
        <v>289.66199999999998</v>
      </c>
      <c r="H26" s="13">
        <v>130</v>
      </c>
      <c r="I26" s="14">
        <v>48.44</v>
      </c>
      <c r="J26" s="13">
        <v>695784.5</v>
      </c>
      <c r="L26" s="6">
        <v>49.33</v>
      </c>
      <c r="M26" s="43">
        <v>-5649.7571465405072</v>
      </c>
      <c r="N26" s="6">
        <v>5699.0871465405071</v>
      </c>
      <c r="O26" s="5">
        <v>32479594.30386322</v>
      </c>
    </row>
    <row r="27" spans="1:15" x14ac:dyDescent="0.35">
      <c r="A27" s="37" t="s">
        <v>349</v>
      </c>
      <c r="B27" s="6">
        <v>49.73</v>
      </c>
      <c r="C27" s="20">
        <v>2.5534631343759884E-2</v>
      </c>
      <c r="D27" s="7">
        <v>4082</v>
      </c>
      <c r="E27" s="7">
        <v>1850</v>
      </c>
      <c r="F27" s="14">
        <v>2.2064864864864866</v>
      </c>
      <c r="G27" s="15">
        <v>289.66199999999998</v>
      </c>
      <c r="H27" s="13">
        <v>135</v>
      </c>
      <c r="I27" s="14">
        <v>48.93</v>
      </c>
      <c r="J27" s="13">
        <v>703168</v>
      </c>
      <c r="L27" s="6">
        <v>49.73</v>
      </c>
      <c r="M27" s="43">
        <v>-5709.5661978403241</v>
      </c>
      <c r="N27" s="6">
        <v>5759.2961978403237</v>
      </c>
      <c r="O27" s="5">
        <v>33169492.694458008</v>
      </c>
    </row>
    <row r="28" spans="1:15" x14ac:dyDescent="0.35">
      <c r="A28" s="37"/>
      <c r="B28" s="6">
        <v>50.47</v>
      </c>
      <c r="C28" s="20">
        <v>3.6386849664857987E-2</v>
      </c>
      <c r="D28" s="7">
        <v>4352.5</v>
      </c>
      <c r="E28" s="7">
        <v>1875</v>
      </c>
      <c r="F28" s="14">
        <v>2.3213333333333335</v>
      </c>
      <c r="G28" s="15">
        <v>281.35700000000003</v>
      </c>
      <c r="H28" s="13">
        <v>151</v>
      </c>
      <c r="I28" s="14">
        <v>49.33</v>
      </c>
      <c r="J28" s="13">
        <v>708737.5</v>
      </c>
      <c r="L28" s="6">
        <v>50.47</v>
      </c>
      <c r="M28" s="43">
        <v>-5755.3217978326666</v>
      </c>
      <c r="N28" s="6">
        <v>5805.7917978326668</v>
      </c>
      <c r="O28" s="5">
        <v>33707218.399781071</v>
      </c>
    </row>
    <row r="29" spans="1:15" x14ac:dyDescent="0.35">
      <c r="A29" s="37" t="s">
        <v>350</v>
      </c>
      <c r="B29" s="6">
        <v>51.21</v>
      </c>
      <c r="C29" s="20">
        <v>4.7239067985956083E-2</v>
      </c>
      <c r="D29" s="7">
        <v>4623</v>
      </c>
      <c r="E29" s="7">
        <v>1900</v>
      </c>
      <c r="F29" s="14">
        <v>2.433157894736842</v>
      </c>
      <c r="G29" s="15">
        <v>273.05200000000002</v>
      </c>
      <c r="H29" s="13">
        <v>167</v>
      </c>
      <c r="I29" s="14">
        <v>49.73</v>
      </c>
      <c r="J29" s="13">
        <v>714307</v>
      </c>
      <c r="L29" s="6">
        <v>51.21</v>
      </c>
      <c r="M29" s="43">
        <v>-5801.0594229938952</v>
      </c>
      <c r="N29" s="6">
        <v>5852.2694229938952</v>
      </c>
      <c r="O29" s="5">
        <v>34249057.3993093</v>
      </c>
    </row>
    <row r="30" spans="1:15" x14ac:dyDescent="0.35">
      <c r="A30" s="37"/>
      <c r="B30" s="6">
        <v>51.394999999999996</v>
      </c>
      <c r="C30" s="20">
        <v>2.9524417491222383E-2</v>
      </c>
      <c r="D30" s="7">
        <v>4780.5</v>
      </c>
      <c r="E30" s="7">
        <v>1925</v>
      </c>
      <c r="F30" s="14">
        <v>2.4833766233766235</v>
      </c>
      <c r="G30" s="15">
        <v>272.40899999999999</v>
      </c>
      <c r="H30" s="13">
        <v>159</v>
      </c>
      <c r="I30" s="14">
        <v>50.47</v>
      </c>
      <c r="J30" s="13">
        <v>705825.5</v>
      </c>
      <c r="L30" s="6">
        <v>51.394999999999996</v>
      </c>
      <c r="M30" s="43">
        <v>-5731.6225901331691</v>
      </c>
      <c r="N30" s="6">
        <v>5783.0175901331695</v>
      </c>
      <c r="O30" s="5">
        <v>33443292.44778965</v>
      </c>
    </row>
    <row r="31" spans="1:15" x14ac:dyDescent="0.35">
      <c r="A31" s="37" t="s">
        <v>351</v>
      </c>
      <c r="B31" s="6">
        <v>51.58</v>
      </c>
      <c r="C31" s="20">
        <v>1.1809766996488906E-2</v>
      </c>
      <c r="D31" s="7">
        <v>4938</v>
      </c>
      <c r="E31" s="7">
        <v>1950</v>
      </c>
      <c r="F31" s="14">
        <v>2.5323076923076924</v>
      </c>
      <c r="G31" s="15">
        <v>271.76600000000002</v>
      </c>
      <c r="H31" s="13">
        <v>151</v>
      </c>
      <c r="I31" s="14">
        <v>51.21</v>
      </c>
      <c r="J31" s="13">
        <v>697344</v>
      </c>
      <c r="L31" s="6">
        <v>51.58</v>
      </c>
      <c r="M31" s="43">
        <v>-5662.1780990064608</v>
      </c>
      <c r="N31" s="6">
        <v>5713.7580990064607</v>
      </c>
      <c r="O31" s="5">
        <v>32647031.613961924</v>
      </c>
    </row>
    <row r="32" spans="1:15" x14ac:dyDescent="0.35">
      <c r="A32" s="37"/>
      <c r="B32" s="6">
        <v>52.224999999999994</v>
      </c>
      <c r="C32" s="20">
        <v>2.6492180019150921E-2</v>
      </c>
      <c r="D32" s="7">
        <v>5050.5</v>
      </c>
      <c r="E32" s="7">
        <v>1950</v>
      </c>
      <c r="F32" s="14">
        <v>2.59</v>
      </c>
      <c r="G32" s="15">
        <v>267.85449999999997</v>
      </c>
      <c r="H32" s="13">
        <v>137</v>
      </c>
      <c r="I32" s="14">
        <v>51.394999999999996</v>
      </c>
      <c r="J32" s="13">
        <v>687034</v>
      </c>
      <c r="L32" s="6">
        <v>52.224999999999994</v>
      </c>
      <c r="M32" s="43">
        <v>-5578.3466168410005</v>
      </c>
      <c r="N32" s="6">
        <v>5630.5716168410008</v>
      </c>
      <c r="O32" s="5">
        <v>31703336.732375484</v>
      </c>
    </row>
    <row r="33" spans="1:15" x14ac:dyDescent="0.35">
      <c r="A33" s="37" t="s">
        <v>352</v>
      </c>
      <c r="B33" s="6">
        <v>52.87</v>
      </c>
      <c r="C33" s="20">
        <v>4.1174593041812931E-2</v>
      </c>
      <c r="D33" s="7">
        <v>5163</v>
      </c>
      <c r="E33" s="7">
        <v>1950</v>
      </c>
      <c r="F33" s="14">
        <v>2.6476923076923078</v>
      </c>
      <c r="G33" s="15">
        <v>263.94299999999998</v>
      </c>
      <c r="H33" s="13">
        <v>123</v>
      </c>
      <c r="I33" s="14">
        <v>51.58</v>
      </c>
      <c r="J33" s="13">
        <v>676724</v>
      </c>
      <c r="L33" s="6">
        <v>52.87</v>
      </c>
      <c r="M33" s="43">
        <v>-5494.5151346755392</v>
      </c>
      <c r="N33" s="6">
        <v>5547.3851346755391</v>
      </c>
      <c r="O33" s="5">
        <v>30773481.83241915</v>
      </c>
    </row>
    <row r="34" spans="1:15" x14ac:dyDescent="0.35">
      <c r="A34" s="37"/>
      <c r="B34" s="6">
        <v>52.97</v>
      </c>
      <c r="C34" s="20">
        <v>2.3779125438876624E-2</v>
      </c>
      <c r="D34" s="7">
        <v>5244</v>
      </c>
      <c r="E34" s="7">
        <v>1975</v>
      </c>
      <c r="F34" s="14">
        <v>2.6551898734177217</v>
      </c>
      <c r="G34" s="15">
        <v>262.70650000000001</v>
      </c>
      <c r="H34" s="13">
        <v>122.5</v>
      </c>
      <c r="I34" s="14">
        <v>52.224999999999994</v>
      </c>
      <c r="J34" s="13">
        <v>704267.5</v>
      </c>
      <c r="L34" s="6">
        <v>52.97</v>
      </c>
      <c r="M34" s="43">
        <v>-5718.9134425858601</v>
      </c>
      <c r="N34" s="6">
        <v>5771.8834425858604</v>
      </c>
      <c r="O34" s="5">
        <v>33314638.474796802</v>
      </c>
    </row>
    <row r="35" spans="1:15" x14ac:dyDescent="0.35">
      <c r="A35" s="37" t="s">
        <v>353</v>
      </c>
      <c r="B35" s="6">
        <v>53.07</v>
      </c>
      <c r="C35" s="20">
        <v>6.3836578359400846E-3</v>
      </c>
      <c r="D35" s="7">
        <v>5325</v>
      </c>
      <c r="E35" s="7">
        <v>2000</v>
      </c>
      <c r="F35" s="14">
        <v>2.6625000000000001</v>
      </c>
      <c r="G35" s="15">
        <v>261.47000000000003</v>
      </c>
      <c r="H35" s="13">
        <v>122</v>
      </c>
      <c r="I35" s="14">
        <v>52.87</v>
      </c>
      <c r="J35" s="13">
        <v>731811</v>
      </c>
      <c r="L35" s="6">
        <v>53.07</v>
      </c>
      <c r="M35" s="43">
        <v>-5943.310635715</v>
      </c>
      <c r="N35" s="6">
        <v>5996.3806357149997</v>
      </c>
      <c r="O35" s="5">
        <v>35956580.728377827</v>
      </c>
    </row>
    <row r="36" spans="1:15" x14ac:dyDescent="0.35">
      <c r="A36" s="37"/>
      <c r="B36" s="6">
        <v>53.55</v>
      </c>
      <c r="C36" s="20">
        <v>1.851260772422593E-2</v>
      </c>
      <c r="D36" s="7">
        <v>5637</v>
      </c>
      <c r="E36" s="7">
        <v>2075</v>
      </c>
      <c r="F36" s="14">
        <v>2.7166265060240962</v>
      </c>
      <c r="G36" s="15">
        <v>260.74549999999999</v>
      </c>
      <c r="H36" s="13">
        <v>123.5</v>
      </c>
      <c r="I36" s="14">
        <v>52.97</v>
      </c>
      <c r="J36" s="13">
        <v>779253.4</v>
      </c>
      <c r="L36" s="6">
        <v>53.55</v>
      </c>
      <c r="M36" s="43">
        <v>-6330.8200899997228</v>
      </c>
      <c r="N36" s="6">
        <v>6384.3700899997229</v>
      </c>
      <c r="O36" s="5">
        <v>40760181.446083069</v>
      </c>
    </row>
    <row r="37" spans="1:15" x14ac:dyDescent="0.35">
      <c r="A37" s="37" t="s">
        <v>354</v>
      </c>
      <c r="B37" s="6">
        <v>54.03</v>
      </c>
      <c r="C37" s="20">
        <v>3.0641557612511999E-2</v>
      </c>
      <c r="D37" s="7">
        <v>5949</v>
      </c>
      <c r="E37" s="7">
        <v>2150</v>
      </c>
      <c r="F37" s="14">
        <v>2.7669767441860467</v>
      </c>
      <c r="G37" s="15">
        <v>260.02100000000002</v>
      </c>
      <c r="H37" s="13">
        <v>125</v>
      </c>
      <c r="I37" s="14">
        <v>53.07</v>
      </c>
      <c r="J37" s="13">
        <v>826695.8</v>
      </c>
      <c r="L37" s="6">
        <v>54.03</v>
      </c>
      <c r="M37" s="43">
        <v>-6718.3070851956754</v>
      </c>
      <c r="N37" s="6">
        <v>6772.3370851956752</v>
      </c>
      <c r="O37" s="5">
        <v>45864549.595516652</v>
      </c>
    </row>
    <row r="38" spans="1:15" x14ac:dyDescent="0.35">
      <c r="A38" s="37"/>
      <c r="B38" s="6">
        <v>53.1</v>
      </c>
      <c r="C38" s="20">
        <v>-1.436323013086485E-2</v>
      </c>
      <c r="D38" s="7">
        <v>5806</v>
      </c>
      <c r="E38" s="7">
        <v>2175</v>
      </c>
      <c r="F38" s="14">
        <v>2.6694252873563218</v>
      </c>
      <c r="G38" s="15">
        <v>212.2885</v>
      </c>
      <c r="H38" s="13">
        <v>130</v>
      </c>
      <c r="I38" s="14">
        <v>53.55</v>
      </c>
      <c r="J38" s="13">
        <v>845489.55</v>
      </c>
      <c r="L38" s="6">
        <v>53.1</v>
      </c>
      <c r="M38" s="43">
        <v>-6870.9603668197815</v>
      </c>
      <c r="N38" s="6">
        <v>6924.0603668197818</v>
      </c>
      <c r="O38" s="5">
        <v>47942611.963364489</v>
      </c>
    </row>
    <row r="39" spans="1:15" x14ac:dyDescent="0.35">
      <c r="A39" s="37" t="s">
        <v>355</v>
      </c>
      <c r="B39" s="6">
        <v>52.17</v>
      </c>
      <c r="C39" s="20">
        <v>-5.9368017874241924E-2</v>
      </c>
      <c r="D39" s="7">
        <v>5663</v>
      </c>
      <c r="E39" s="7">
        <v>2200</v>
      </c>
      <c r="F39" s="14">
        <v>2.5740909090909092</v>
      </c>
      <c r="G39" s="15">
        <v>164.55600000000001</v>
      </c>
      <c r="H39" s="13">
        <v>135</v>
      </c>
      <c r="I39" s="14">
        <v>54.03</v>
      </c>
      <c r="J39" s="13">
        <v>864283.3</v>
      </c>
      <c r="L39" s="6">
        <v>52.17</v>
      </c>
      <c r="M39" s="43">
        <v>-7023.6268343634547</v>
      </c>
      <c r="N39" s="6">
        <v>7075.7968343634548</v>
      </c>
      <c r="O39" s="5">
        <v>50066900.841187887</v>
      </c>
    </row>
    <row r="40" spans="1:15" x14ac:dyDescent="0.35">
      <c r="A40" s="37"/>
      <c r="B40" s="6">
        <v>50.650000000000006</v>
      </c>
      <c r="C40" s="20">
        <v>-7.8199808490264797E-2</v>
      </c>
      <c r="D40" s="7">
        <v>5683</v>
      </c>
      <c r="E40" s="7">
        <v>2225</v>
      </c>
      <c r="F40" s="14">
        <v>2.5541573033707867</v>
      </c>
      <c r="G40" s="15">
        <v>171.464</v>
      </c>
      <c r="H40" s="13">
        <v>134</v>
      </c>
      <c r="I40" s="14">
        <v>53.1</v>
      </c>
      <c r="J40" s="13">
        <v>879216.7</v>
      </c>
      <c r="L40" s="6">
        <v>50.650000000000006</v>
      </c>
      <c r="M40" s="43">
        <v>-7146.096393982787</v>
      </c>
      <c r="N40" s="6">
        <v>7196.7463939827867</v>
      </c>
      <c r="O40" s="5">
        <v>51793158.659304246</v>
      </c>
    </row>
    <row r="41" spans="1:15" x14ac:dyDescent="0.35">
      <c r="A41" s="37" t="s">
        <v>356</v>
      </c>
      <c r="B41" s="6">
        <v>49.13</v>
      </c>
      <c r="C41" s="20">
        <v>-9.7031599106287877E-2</v>
      </c>
      <c r="D41" s="7">
        <v>5703</v>
      </c>
      <c r="E41" s="7">
        <v>2250</v>
      </c>
      <c r="F41" s="14">
        <v>2.5346666666666668</v>
      </c>
      <c r="G41" s="15">
        <v>178.37200000000001</v>
      </c>
      <c r="H41" s="13">
        <v>133</v>
      </c>
      <c r="I41" s="14">
        <v>52.17</v>
      </c>
      <c r="J41" s="13">
        <v>894150.1</v>
      </c>
      <c r="L41" s="6">
        <v>49.13</v>
      </c>
      <c r="M41" s="43">
        <v>-7268.568588129333</v>
      </c>
      <c r="N41" s="6">
        <v>7317.6985881293331</v>
      </c>
      <c r="O41" s="5">
        <v>53548712.626710035</v>
      </c>
    </row>
    <row r="42" spans="1:15" x14ac:dyDescent="0.35">
      <c r="A42" s="37"/>
      <c r="B42" s="6">
        <v>49.695</v>
      </c>
      <c r="C42" s="20">
        <v>-3.0481966166613642E-2</v>
      </c>
      <c r="D42" s="7">
        <v>5546</v>
      </c>
      <c r="E42" s="7">
        <v>2325</v>
      </c>
      <c r="F42" s="14">
        <v>2.3853763440860214</v>
      </c>
      <c r="G42" s="15">
        <v>182.83099999999999</v>
      </c>
      <c r="H42" s="13">
        <v>130</v>
      </c>
      <c r="I42" s="14">
        <v>50.650000000000006</v>
      </c>
      <c r="J42" s="13">
        <v>854623.05</v>
      </c>
      <c r="L42" s="6">
        <v>49.695</v>
      </c>
      <c r="M42" s="43">
        <v>-6946.186869978108</v>
      </c>
      <c r="N42" s="6">
        <v>6995.8818699781077</v>
      </c>
      <c r="O42" s="5">
        <v>48942363.138688385</v>
      </c>
    </row>
    <row r="43" spans="1:15" x14ac:dyDescent="0.35">
      <c r="A43" s="37" t="s">
        <v>357</v>
      </c>
      <c r="B43" s="6">
        <v>50.26</v>
      </c>
      <c r="C43" s="20">
        <v>3.6067666773060822E-2</v>
      </c>
      <c r="D43" s="7">
        <v>5389</v>
      </c>
      <c r="E43" s="7">
        <v>2400</v>
      </c>
      <c r="F43" s="14">
        <v>2.2454166666666668</v>
      </c>
      <c r="G43" s="15">
        <v>187.29</v>
      </c>
      <c r="H43" s="13">
        <v>127</v>
      </c>
      <c r="I43" s="14">
        <v>49.13</v>
      </c>
      <c r="J43" s="13">
        <v>815096</v>
      </c>
      <c r="L43" s="6">
        <v>50.26</v>
      </c>
      <c r="M43" s="43">
        <v>-6623.8606451858332</v>
      </c>
      <c r="N43" s="6">
        <v>6674.1206451858334</v>
      </c>
      <c r="O43" s="5">
        <v>44543886.386495762</v>
      </c>
    </row>
    <row r="44" spans="1:15" x14ac:dyDescent="0.35">
      <c r="A44" s="37"/>
      <c r="B44" s="6">
        <v>49.977499999999999</v>
      </c>
      <c r="C44" s="20">
        <v>9.0169166932652055E-3</v>
      </c>
      <c r="D44" s="7">
        <v>5467.5</v>
      </c>
      <c r="E44" s="7">
        <v>2362.5</v>
      </c>
      <c r="F44" s="14">
        <v>2.3142857142857145</v>
      </c>
      <c r="G44" s="15">
        <v>185.06049999999999</v>
      </c>
      <c r="H44" s="13">
        <v>128.5</v>
      </c>
      <c r="I44" s="14">
        <v>49.695</v>
      </c>
      <c r="J44" s="13">
        <v>835473.4</v>
      </c>
      <c r="L44" s="6">
        <v>49.977499999999999</v>
      </c>
      <c r="M44" s="43">
        <v>-6790.1774494747142</v>
      </c>
      <c r="N44" s="6">
        <v>6840.1549494747142</v>
      </c>
      <c r="O44" s="5">
        <v>46787719.732823431</v>
      </c>
    </row>
    <row r="45" spans="1:15" x14ac:dyDescent="0.35">
      <c r="A45" s="54">
        <v>2021</v>
      </c>
      <c r="B45" s="6">
        <v>53.76</v>
      </c>
      <c r="C45" s="20">
        <v>0.11171401212894989</v>
      </c>
      <c r="D45" s="7">
        <v>6145.8095238095202</v>
      </c>
      <c r="E45" s="7">
        <v>2389.69221835075</v>
      </c>
      <c r="F45" s="14">
        <v>2.5717996136134471</v>
      </c>
      <c r="G45" s="15">
        <v>279.30988269454201</v>
      </c>
      <c r="H45" s="13">
        <v>134.21602787456399</v>
      </c>
      <c r="I45" s="14">
        <v>50.26</v>
      </c>
      <c r="J45" s="13">
        <v>855850.8</v>
      </c>
      <c r="L45" s="6">
        <v>53.76</v>
      </c>
      <c r="M45" s="43">
        <v>-6957.1258896073086</v>
      </c>
      <c r="N45" s="6">
        <v>7010.8858896073089</v>
      </c>
      <c r="O45" s="5">
        <v>49152520.957094863</v>
      </c>
    </row>
    <row r="46" spans="1:15" x14ac:dyDescent="0.35">
      <c r="A46" s="54"/>
      <c r="B46" s="6">
        <v>52.11</v>
      </c>
      <c r="C46" s="20">
        <v>6.806575167571019E-2</v>
      </c>
      <c r="D46" s="7">
        <v>6249.6766334440699</v>
      </c>
      <c r="E46" s="7">
        <v>2423.16904356751</v>
      </c>
      <c r="F46" s="14">
        <v>2.579133573051505</v>
      </c>
      <c r="G46" s="15">
        <v>283.45142098155196</v>
      </c>
      <c r="H46" s="13">
        <v>134.42042784215201</v>
      </c>
      <c r="I46" s="14">
        <v>49.977499999999999</v>
      </c>
      <c r="J46" s="13">
        <v>845662.10000000009</v>
      </c>
      <c r="L46" s="6">
        <v>52.11</v>
      </c>
      <c r="M46" s="43">
        <v>-6874.1941214681847</v>
      </c>
      <c r="N46" s="6">
        <v>6926.3041214681843</v>
      </c>
      <c r="O46" s="5">
        <v>47973688.783067159</v>
      </c>
    </row>
    <row r="47" spans="1:15" x14ac:dyDescent="0.35">
      <c r="A47" s="54">
        <v>2022</v>
      </c>
      <c r="B47" s="6">
        <v>50.33</v>
      </c>
      <c r="C47" s="20">
        <v>-0.10947973188637089</v>
      </c>
      <c r="D47" s="7">
        <v>6353.5437430786296</v>
      </c>
      <c r="E47" s="7">
        <v>2456.6458687842701</v>
      </c>
      <c r="F47" s="14">
        <v>2.5862676520905445</v>
      </c>
      <c r="G47" s="15">
        <v>287.59295926856299</v>
      </c>
      <c r="H47" s="13">
        <v>134.62482780974</v>
      </c>
      <c r="I47" s="14">
        <v>55.4684030197445</v>
      </c>
      <c r="J47" s="13">
        <v>919832.86321353004</v>
      </c>
      <c r="L47" s="6">
        <v>50.33</v>
      </c>
      <c r="M47" s="43">
        <v>-7475.4689850609657</v>
      </c>
      <c r="N47" s="6">
        <v>7525.7989850609656</v>
      </c>
      <c r="O47" s="5">
        <v>56637650.363544658</v>
      </c>
    </row>
    <row r="48" spans="1:15" x14ac:dyDescent="0.35">
      <c r="A48" s="54"/>
      <c r="B48" s="6">
        <v>50.33</v>
      </c>
      <c r="C48" s="20">
        <v>-5.6814554739865984E-2</v>
      </c>
      <c r="D48" s="7">
        <v>6457.4108527131802</v>
      </c>
      <c r="E48" s="7">
        <v>2490.1226940010201</v>
      </c>
      <c r="F48" s="14">
        <v>2.5932099122142835</v>
      </c>
      <c r="G48" s="15">
        <v>291.73449755557397</v>
      </c>
      <c r="H48" s="13">
        <v>134.82922777732799</v>
      </c>
      <c r="I48" s="14">
        <v>55.808015895524399</v>
      </c>
      <c r="J48" s="13">
        <v>932608.77157857595</v>
      </c>
      <c r="L48" s="6">
        <v>50.33</v>
      </c>
      <c r="M48" s="43">
        <v>-7579.5188724638174</v>
      </c>
      <c r="N48" s="6">
        <v>7629.8488724638173</v>
      </c>
      <c r="O48" s="5">
        <v>58214593.816637382</v>
      </c>
    </row>
    <row r="49" spans="1:15" x14ac:dyDescent="0.35">
      <c r="A49" s="37" t="s">
        <v>358</v>
      </c>
      <c r="B49" s="14">
        <v>56.006380952380901</v>
      </c>
      <c r="C49" s="20">
        <v>0.18341464897481338</v>
      </c>
      <c r="N49" t="s">
        <v>315</v>
      </c>
      <c r="O49" s="5">
        <v>1377073902.330389</v>
      </c>
    </row>
    <row r="50" spans="1:15" x14ac:dyDescent="0.35">
      <c r="A50" s="37" t="s">
        <v>359</v>
      </c>
      <c r="B50" s="14">
        <v>56.738952380952298</v>
      </c>
      <c r="C50" s="20">
        <v>2.3382426701927774E-2</v>
      </c>
      <c r="N50" t="s">
        <v>316</v>
      </c>
      <c r="O50" s="5">
        <v>29936389.181095414</v>
      </c>
    </row>
    <row r="51" spans="1:15" x14ac:dyDescent="0.35">
      <c r="A51" s="37" t="s">
        <v>360</v>
      </c>
      <c r="B51" s="14">
        <v>57.471523809523802</v>
      </c>
      <c r="C51" s="20">
        <v>2.3382426701931178E-2</v>
      </c>
      <c r="F51" t="s">
        <v>310</v>
      </c>
      <c r="N51" t="s">
        <v>317</v>
      </c>
      <c r="O51">
        <v>5471.4156468957299</v>
      </c>
    </row>
    <row r="52" spans="1:15" x14ac:dyDescent="0.35">
      <c r="A52" s="37" t="s">
        <v>361</v>
      </c>
      <c r="B52" s="14">
        <v>58.204095238095199</v>
      </c>
      <c r="C52" s="20">
        <v>2.3382426701927774E-2</v>
      </c>
    </row>
    <row r="53" spans="1:15" x14ac:dyDescent="0.35">
      <c r="A53" s="37" t="s">
        <v>362</v>
      </c>
      <c r="B53" s="14">
        <v>58.936666666666603</v>
      </c>
      <c r="C53" s="20">
        <v>2.3382426701928E-2</v>
      </c>
      <c r="F53" t="s">
        <v>70</v>
      </c>
      <c r="G53" s="27">
        <v>-5.9474299999999998</v>
      </c>
    </row>
    <row r="54" spans="1:15" x14ac:dyDescent="0.35">
      <c r="A54" s="37"/>
      <c r="B54" s="6"/>
      <c r="C54" s="20">
        <v>2.9014159126785056E-2</v>
      </c>
      <c r="F54" t="s">
        <v>71</v>
      </c>
      <c r="G54" s="27">
        <v>4.7419999999999997E-3</v>
      </c>
    </row>
    <row r="55" spans="1:15" x14ac:dyDescent="0.35">
      <c r="A55" s="37"/>
      <c r="B55" s="6"/>
      <c r="C55" s="20"/>
      <c r="F55" t="s">
        <v>76</v>
      </c>
      <c r="G55" s="27">
        <v>7.783E-3</v>
      </c>
    </row>
    <row r="56" spans="1:15" x14ac:dyDescent="0.35">
      <c r="A56" s="37"/>
      <c r="B56" s="6"/>
      <c r="C56" s="20"/>
      <c r="F56" t="s">
        <v>77</v>
      </c>
      <c r="G56" s="27">
        <v>0.765316</v>
      </c>
    </row>
    <row r="57" spans="1:15" x14ac:dyDescent="0.35">
      <c r="A57" s="37"/>
      <c r="B57" s="6"/>
      <c r="C57" s="20"/>
      <c r="F57" t="s">
        <v>74</v>
      </c>
      <c r="G57" s="27">
        <v>-8.1630000000000001E-3</v>
      </c>
    </row>
    <row r="58" spans="1:15" x14ac:dyDescent="0.35">
      <c r="A58" s="37"/>
      <c r="B58" s="6"/>
      <c r="C58" s="20"/>
    </row>
    <row r="59" spans="1:15" x14ac:dyDescent="0.35">
      <c r="F59" t="s">
        <v>326</v>
      </c>
      <c r="G59" s="27">
        <v>3.6459160000000002</v>
      </c>
    </row>
  </sheetData>
  <mergeCells count="1">
    <mergeCell ref="D1:F1"/>
  </mergeCells>
  <phoneticPr fontId="21" type="noConversion"/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96CF-ED91-4A06-9811-20433913E842}">
  <dimension ref="A1:C52"/>
  <sheetViews>
    <sheetView topLeftCell="A45" workbookViewId="0">
      <selection activeCell="B52" sqref="B52"/>
    </sheetView>
  </sheetViews>
  <sheetFormatPr defaultRowHeight="14.5" x14ac:dyDescent="0.35"/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 s="11">
        <f>'Persamaan 2'!B3</f>
        <v>31.33</v>
      </c>
      <c r="C2" s="11">
        <f>'Persamaan 2'!M3</f>
        <v>-3016.6215362779999</v>
      </c>
    </row>
    <row r="3" spans="1:3" x14ac:dyDescent="0.35">
      <c r="A3">
        <v>2000</v>
      </c>
      <c r="B3" s="11">
        <f>'Persamaan 2'!B4</f>
        <v>33.465000000000003</v>
      </c>
      <c r="C3" s="11">
        <f>'Persamaan 2'!M4</f>
        <v>-3033.2825444666514</v>
      </c>
    </row>
    <row r="4" spans="1:3" x14ac:dyDescent="0.35">
      <c r="A4">
        <v>2001</v>
      </c>
      <c r="B4" s="11">
        <f>'Persamaan 2'!B5</f>
        <v>35.6</v>
      </c>
      <c r="C4" s="11">
        <f>'Persamaan 2'!M5</f>
        <v>-3049.9311045460004</v>
      </c>
    </row>
    <row r="5" spans="1:3" x14ac:dyDescent="0.35">
      <c r="A5">
        <v>2001</v>
      </c>
      <c r="B5" s="11">
        <f>'Persamaan 2'!B6</f>
        <v>37.19</v>
      </c>
      <c r="C5" s="11">
        <f>'Persamaan 2'!M6</f>
        <v>-3064.4838478340002</v>
      </c>
    </row>
    <row r="6" spans="1:3" x14ac:dyDescent="0.35">
      <c r="A6">
        <v>2002</v>
      </c>
      <c r="B6" s="11">
        <f>'Persamaan 2'!B7</f>
        <v>38.78</v>
      </c>
      <c r="C6" s="11">
        <f>'Persamaan 2'!M7</f>
        <v>-3079.031936611565</v>
      </c>
    </row>
    <row r="7" spans="1:3" x14ac:dyDescent="0.35">
      <c r="A7">
        <v>2002</v>
      </c>
      <c r="B7" s="11">
        <f>'Persamaan 2'!B8</f>
        <v>40.284999999999997</v>
      </c>
      <c r="C7" s="11">
        <f>'Persamaan 2'!M8</f>
        <v>-3239.1435895231275</v>
      </c>
    </row>
    <row r="8" spans="1:3" x14ac:dyDescent="0.35">
      <c r="A8">
        <v>2003</v>
      </c>
      <c r="B8" s="11">
        <f>'Persamaan 2'!B9</f>
        <v>41.79</v>
      </c>
      <c r="C8" s="11">
        <f>'Persamaan 2'!M9</f>
        <v>-3399.2332307083334</v>
      </c>
    </row>
    <row r="9" spans="1:3" x14ac:dyDescent="0.35">
      <c r="A9">
        <v>2003</v>
      </c>
      <c r="B9" s="11">
        <f>'Persamaan 2'!B10</f>
        <v>44.64</v>
      </c>
      <c r="C9" s="11">
        <f>'Persamaan 2'!M10</f>
        <v>-3477.094367402633</v>
      </c>
    </row>
    <row r="10" spans="1:3" x14ac:dyDescent="0.35">
      <c r="A10">
        <v>2004</v>
      </c>
      <c r="B10" s="11">
        <f>'Persamaan 2'!B11</f>
        <v>47.49</v>
      </c>
      <c r="C10" s="11">
        <f>'Persamaan 2'!M11</f>
        <v>-3554.9441392460003</v>
      </c>
    </row>
    <row r="11" spans="1:3" x14ac:dyDescent="0.35">
      <c r="A11">
        <v>2004</v>
      </c>
      <c r="B11" s="11">
        <f>'Persamaan 2'!B12</f>
        <v>48.534999999999997</v>
      </c>
      <c r="C11" s="11">
        <f>'Persamaan 2'!M12</f>
        <v>-3695.5988696541767</v>
      </c>
    </row>
    <row r="12" spans="1:3" x14ac:dyDescent="0.35">
      <c r="A12">
        <v>2005</v>
      </c>
      <c r="B12" s="11">
        <f>'Persamaan 2'!B13</f>
        <v>49.58</v>
      </c>
      <c r="C12" s="11">
        <f>'Persamaan 2'!M13</f>
        <v>-3836.2581427147693</v>
      </c>
    </row>
    <row r="13" spans="1:3" x14ac:dyDescent="0.35">
      <c r="A13">
        <v>2005</v>
      </c>
      <c r="B13" s="11">
        <f>'Persamaan 2'!B14</f>
        <v>49.265000000000001</v>
      </c>
      <c r="C13" s="11">
        <f>'Persamaan 2'!M14</f>
        <v>-3945.6208689467171</v>
      </c>
    </row>
    <row r="14" spans="1:3" x14ac:dyDescent="0.35">
      <c r="A14">
        <v>2006</v>
      </c>
      <c r="B14" s="11">
        <f>'Persamaan 2'!B15</f>
        <v>48.95</v>
      </c>
      <c r="C14" s="11">
        <f>'Persamaan 2'!M15</f>
        <v>-4054.9875594925925</v>
      </c>
    </row>
    <row r="15" spans="1:3" x14ac:dyDescent="0.35">
      <c r="A15">
        <v>2006</v>
      </c>
      <c r="B15" s="11">
        <f>'Persamaan 2'!B16</f>
        <v>49.234999999999999</v>
      </c>
      <c r="C15" s="11">
        <f>'Persamaan 2'!M16</f>
        <v>-4145.0714218546373</v>
      </c>
    </row>
    <row r="16" spans="1:3" x14ac:dyDescent="0.35">
      <c r="A16">
        <v>2007</v>
      </c>
      <c r="B16" s="11">
        <f>'Persamaan 2'!B17</f>
        <v>49.52</v>
      </c>
      <c r="C16" s="11">
        <f>'Persamaan 2'!M17</f>
        <v>-4235.1429201991432</v>
      </c>
    </row>
    <row r="17" spans="1:3" x14ac:dyDescent="0.35">
      <c r="A17">
        <v>2007</v>
      </c>
      <c r="B17" s="11">
        <f>'Persamaan 2'!B18</f>
        <v>50.14</v>
      </c>
      <c r="C17" s="11">
        <f>'Persamaan 2'!M18</f>
        <v>-4432.9854364227194</v>
      </c>
    </row>
    <row r="18" spans="1:3" x14ac:dyDescent="0.35">
      <c r="A18">
        <v>2008</v>
      </c>
      <c r="B18" s="11">
        <f>'Persamaan 2'!B19</f>
        <v>50.76</v>
      </c>
      <c r="C18" s="11">
        <f>'Persamaan 2'!M19</f>
        <v>-4630.8261279659318</v>
      </c>
    </row>
    <row r="19" spans="1:3" x14ac:dyDescent="0.35">
      <c r="A19">
        <v>2008</v>
      </c>
      <c r="B19" s="11">
        <f>'Persamaan 2'!B20</f>
        <v>51.47</v>
      </c>
      <c r="C19" s="11">
        <f>'Persamaan 2'!M20</f>
        <v>-4814.064195692813</v>
      </c>
    </row>
    <row r="20" spans="1:3" x14ac:dyDescent="0.35">
      <c r="A20">
        <v>2009</v>
      </c>
      <c r="B20" s="11">
        <f>'Persamaan 2'!B21</f>
        <v>52.18</v>
      </c>
      <c r="C20" s="11">
        <f>'Persamaan 2'!M21</f>
        <v>-4997.2940322599998</v>
      </c>
    </row>
    <row r="21" spans="1:3" x14ac:dyDescent="0.35">
      <c r="A21">
        <v>2009</v>
      </c>
      <c r="B21" s="11">
        <f>'Persamaan 2'!B22</f>
        <v>50.064999999999998</v>
      </c>
      <c r="C21" s="11">
        <f>'Persamaan 2'!M22</f>
        <v>-5176.8398796634128</v>
      </c>
    </row>
    <row r="22" spans="1:3" x14ac:dyDescent="0.35">
      <c r="A22">
        <v>2010</v>
      </c>
      <c r="B22" s="11">
        <f>'Persamaan 2'!B23</f>
        <v>47.95</v>
      </c>
      <c r="C22" s="11">
        <f>'Persamaan 2'!M23</f>
        <v>-5356.4201929815154</v>
      </c>
    </row>
    <row r="23" spans="1:3" x14ac:dyDescent="0.35">
      <c r="A23">
        <v>2010</v>
      </c>
      <c r="B23" s="11">
        <f>'Persamaan 2'!B24</f>
        <v>48.44</v>
      </c>
      <c r="C23" s="11">
        <f>'Persamaan 2'!M24</f>
        <v>-5473.1868725906124</v>
      </c>
    </row>
    <row r="24" spans="1:3" x14ac:dyDescent="0.35">
      <c r="A24">
        <v>2011</v>
      </c>
      <c r="B24" s="11">
        <f>'Persamaan 2'!B25</f>
        <v>48.93</v>
      </c>
      <c r="C24" s="11">
        <f>'Persamaan 2'!M25</f>
        <v>-5589.952378125412</v>
      </c>
    </row>
    <row r="25" spans="1:3" x14ac:dyDescent="0.35">
      <c r="A25">
        <v>2011</v>
      </c>
      <c r="B25" s="11">
        <f>'Persamaan 2'!B26</f>
        <v>49.33</v>
      </c>
      <c r="C25" s="11">
        <f>'Persamaan 2'!M26</f>
        <v>-5649.7571465405072</v>
      </c>
    </row>
    <row r="26" spans="1:3" x14ac:dyDescent="0.35">
      <c r="A26">
        <v>2012</v>
      </c>
      <c r="B26" s="11">
        <f>'Persamaan 2'!B27</f>
        <v>49.73</v>
      </c>
      <c r="C26" s="11">
        <f>'Persamaan 2'!M27</f>
        <v>-5709.5661978403241</v>
      </c>
    </row>
    <row r="27" spans="1:3" x14ac:dyDescent="0.35">
      <c r="A27">
        <v>2012</v>
      </c>
      <c r="B27" s="11">
        <f>'Persamaan 2'!B28</f>
        <v>50.47</v>
      </c>
      <c r="C27" s="11">
        <f>'Persamaan 2'!M28</f>
        <v>-5755.3217978326666</v>
      </c>
    </row>
    <row r="28" spans="1:3" x14ac:dyDescent="0.35">
      <c r="A28">
        <v>2013</v>
      </c>
      <c r="B28" s="11">
        <f>'Persamaan 2'!B29</f>
        <v>51.21</v>
      </c>
      <c r="C28" s="11">
        <f>'Persamaan 2'!M29</f>
        <v>-5801.0594229938952</v>
      </c>
    </row>
    <row r="29" spans="1:3" x14ac:dyDescent="0.35">
      <c r="A29">
        <v>2013</v>
      </c>
      <c r="B29" s="11">
        <f>'Persamaan 2'!B30</f>
        <v>51.394999999999996</v>
      </c>
      <c r="C29" s="11">
        <f>'Persamaan 2'!M30</f>
        <v>-5731.6225901331691</v>
      </c>
    </row>
    <row r="30" spans="1:3" x14ac:dyDescent="0.35">
      <c r="A30">
        <v>2014</v>
      </c>
      <c r="B30" s="11">
        <f>'Persamaan 2'!B31</f>
        <v>51.58</v>
      </c>
      <c r="C30" s="11">
        <f>'Persamaan 2'!M31</f>
        <v>-5662.1780990064608</v>
      </c>
    </row>
    <row r="31" spans="1:3" x14ac:dyDescent="0.35">
      <c r="A31">
        <v>2014</v>
      </c>
      <c r="B31" s="11">
        <f>'Persamaan 2'!B32</f>
        <v>52.224999999999994</v>
      </c>
      <c r="C31" s="11">
        <f>'Persamaan 2'!M32</f>
        <v>-5578.3466168410005</v>
      </c>
    </row>
    <row r="32" spans="1:3" x14ac:dyDescent="0.35">
      <c r="A32">
        <v>2015</v>
      </c>
      <c r="B32" s="11">
        <f>'Persamaan 2'!B33</f>
        <v>52.87</v>
      </c>
      <c r="C32" s="11">
        <f>'Persamaan 2'!M33</f>
        <v>-5494.5151346755392</v>
      </c>
    </row>
    <row r="33" spans="1:3" x14ac:dyDescent="0.35">
      <c r="A33">
        <v>2015</v>
      </c>
      <c r="B33" s="11">
        <f>'Persamaan 2'!B34</f>
        <v>52.97</v>
      </c>
      <c r="C33" s="11">
        <f>'Persamaan 2'!M34</f>
        <v>-5718.9134425858601</v>
      </c>
    </row>
    <row r="34" spans="1:3" x14ac:dyDescent="0.35">
      <c r="A34">
        <v>2016</v>
      </c>
      <c r="B34" s="11">
        <f>'Persamaan 2'!B35</f>
        <v>53.07</v>
      </c>
      <c r="C34" s="11">
        <f>'Persamaan 2'!M35</f>
        <v>-5943.310635715</v>
      </c>
    </row>
    <row r="35" spans="1:3" x14ac:dyDescent="0.35">
      <c r="A35">
        <v>2016</v>
      </c>
      <c r="B35" s="11">
        <f>'Persamaan 2'!B36</f>
        <v>53.55</v>
      </c>
      <c r="C35" s="11">
        <f>'Persamaan 2'!M36</f>
        <v>-6330.8200899997228</v>
      </c>
    </row>
    <row r="36" spans="1:3" x14ac:dyDescent="0.35">
      <c r="A36">
        <v>2017</v>
      </c>
      <c r="B36" s="11">
        <f>'Persamaan 2'!B37</f>
        <v>54.03</v>
      </c>
      <c r="C36" s="11">
        <f>'Persamaan 2'!M37</f>
        <v>-6718.3070851956754</v>
      </c>
    </row>
    <row r="37" spans="1:3" x14ac:dyDescent="0.35">
      <c r="A37">
        <v>2017</v>
      </c>
      <c r="B37" s="11">
        <f>'Persamaan 2'!B38</f>
        <v>53.1</v>
      </c>
      <c r="C37" s="11">
        <f>'Persamaan 2'!M38</f>
        <v>-6870.9603668197815</v>
      </c>
    </row>
    <row r="38" spans="1:3" x14ac:dyDescent="0.35">
      <c r="A38">
        <v>2018</v>
      </c>
      <c r="B38" s="11">
        <f>'Persamaan 2'!B39</f>
        <v>52.17</v>
      </c>
      <c r="C38" s="11">
        <f>'Persamaan 2'!M39</f>
        <v>-7023.6268343634547</v>
      </c>
    </row>
    <row r="39" spans="1:3" x14ac:dyDescent="0.35">
      <c r="A39">
        <v>2018</v>
      </c>
      <c r="B39" s="11">
        <f>'Persamaan 2'!B40</f>
        <v>50.650000000000006</v>
      </c>
      <c r="C39" s="11">
        <f>'Persamaan 2'!M40</f>
        <v>-7146.096393982787</v>
      </c>
    </row>
    <row r="40" spans="1:3" x14ac:dyDescent="0.35">
      <c r="A40">
        <v>2019</v>
      </c>
      <c r="B40" s="11">
        <f>'Persamaan 2'!B41</f>
        <v>49.13</v>
      </c>
      <c r="C40" s="11">
        <f>'Persamaan 2'!M41</f>
        <v>-7268.568588129333</v>
      </c>
    </row>
    <row r="41" spans="1:3" x14ac:dyDescent="0.35">
      <c r="A41">
        <v>2019</v>
      </c>
      <c r="B41" s="11">
        <f>'Persamaan 2'!B42</f>
        <v>49.695</v>
      </c>
      <c r="C41" s="11">
        <f>'Persamaan 2'!M42</f>
        <v>-6946.186869978108</v>
      </c>
    </row>
    <row r="42" spans="1:3" x14ac:dyDescent="0.35">
      <c r="A42">
        <v>2020</v>
      </c>
      <c r="B42" s="11">
        <f>'Persamaan 2'!B43</f>
        <v>50.26</v>
      </c>
      <c r="C42" s="11">
        <f>'Persamaan 2'!M43</f>
        <v>-6623.8606451858332</v>
      </c>
    </row>
    <row r="43" spans="1:3" x14ac:dyDescent="0.35">
      <c r="A43">
        <v>2020</v>
      </c>
      <c r="B43" s="11">
        <f>'Persamaan 2'!B44</f>
        <v>49.977499999999999</v>
      </c>
      <c r="C43" s="11">
        <f>'Persamaan 2'!M44</f>
        <v>-6790.1774494747142</v>
      </c>
    </row>
    <row r="44" spans="1:3" x14ac:dyDescent="0.35">
      <c r="A44">
        <v>2021</v>
      </c>
      <c r="B44" s="11">
        <f>'Persamaan 2'!B45</f>
        <v>53.76</v>
      </c>
      <c r="C44" s="11">
        <f>'Persamaan 2'!M45</f>
        <v>-6957.1258896073086</v>
      </c>
    </row>
    <row r="45" spans="1:3" x14ac:dyDescent="0.35">
      <c r="A45">
        <v>2021</v>
      </c>
      <c r="B45" s="11">
        <f>'Persamaan 2'!B46</f>
        <v>52.11</v>
      </c>
      <c r="C45" s="11">
        <f>'Persamaan 2'!M46</f>
        <v>-6874.1941214681847</v>
      </c>
    </row>
    <row r="46" spans="1:3" x14ac:dyDescent="0.35">
      <c r="A46">
        <v>2022</v>
      </c>
      <c r="B46" s="11">
        <f>'Persamaan 2'!B47</f>
        <v>50.33</v>
      </c>
      <c r="C46" s="11">
        <f>'Persamaan 2'!M47</f>
        <v>-7475.4689850609657</v>
      </c>
    </row>
    <row r="47" spans="1:3" x14ac:dyDescent="0.35">
      <c r="A47">
        <v>2022</v>
      </c>
      <c r="B47" s="11">
        <f>'Persamaan 2'!B48</f>
        <v>50.33</v>
      </c>
      <c r="C47" s="11">
        <f>'Persamaan 2'!M48</f>
        <v>-7579.5188724638174</v>
      </c>
    </row>
    <row r="48" spans="1:3" x14ac:dyDescent="0.35">
      <c r="A48">
        <v>2023</v>
      </c>
      <c r="B48" s="11">
        <f>'Persamaan 2'!B49</f>
        <v>56.006380952380901</v>
      </c>
    </row>
    <row r="49" spans="1:2" x14ac:dyDescent="0.35">
      <c r="A49">
        <v>2024</v>
      </c>
      <c r="B49" s="11">
        <f>'Persamaan 2'!B50</f>
        <v>56.738952380952298</v>
      </c>
    </row>
    <row r="50" spans="1:2" x14ac:dyDescent="0.35">
      <c r="A50">
        <v>2025</v>
      </c>
      <c r="B50" s="11">
        <f>'Persamaan 2'!B51</f>
        <v>57.471523809523802</v>
      </c>
    </row>
    <row r="51" spans="1:2" x14ac:dyDescent="0.35">
      <c r="A51">
        <v>2026</v>
      </c>
      <c r="B51" s="11">
        <f>'Persamaan 2'!B52</f>
        <v>58.204095238095199</v>
      </c>
    </row>
    <row r="52" spans="1:2" x14ac:dyDescent="0.35">
      <c r="A52">
        <v>2027</v>
      </c>
      <c r="B52" s="11">
        <f>'Persamaan 2'!B53</f>
        <v>58.936666666666603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99D-B22E-436C-926E-4C6542ADCF80}">
  <dimension ref="A1:M20"/>
  <sheetViews>
    <sheetView topLeftCell="A17" workbookViewId="0">
      <selection activeCell="A12" sqref="A12:F20"/>
    </sheetView>
  </sheetViews>
  <sheetFormatPr defaultRowHeight="14.5" x14ac:dyDescent="0.35"/>
  <cols>
    <col min="1" max="1" width="13.81640625" bestFit="1" customWidth="1"/>
    <col min="2" max="2" width="13.26953125" customWidth="1"/>
    <col min="6" max="6" width="11" customWidth="1"/>
    <col min="8" max="8" width="12.90625" bestFit="1" customWidth="1"/>
    <col min="11" max="11" width="11.81640625" bestFit="1" customWidth="1"/>
    <col min="12" max="12" width="9.26953125" bestFit="1" customWidth="1"/>
  </cols>
  <sheetData>
    <row r="1" spans="1:13" ht="31.5" thickBot="1" x14ac:dyDescent="0.4">
      <c r="A1" s="70" t="s">
        <v>441</v>
      </c>
      <c r="B1" s="71" t="s">
        <v>442</v>
      </c>
    </row>
    <row r="2" spans="1:13" ht="15.5" x14ac:dyDescent="0.35">
      <c r="A2" t="s">
        <v>70</v>
      </c>
      <c r="B2" s="27">
        <v>-5.9474299999999998</v>
      </c>
      <c r="G2" s="78" t="s">
        <v>82</v>
      </c>
      <c r="H2" s="77" t="s">
        <v>160</v>
      </c>
      <c r="I2" s="72" t="s">
        <v>155</v>
      </c>
      <c r="J2" s="72" t="s">
        <v>130</v>
      </c>
      <c r="K2" t="s">
        <v>453</v>
      </c>
      <c r="L2" s="72" t="s">
        <v>464</v>
      </c>
      <c r="M2" s="77"/>
    </row>
    <row r="3" spans="1:13" ht="14.5" customHeight="1" x14ac:dyDescent="0.35">
      <c r="A3" t="s">
        <v>71</v>
      </c>
      <c r="B3" s="27">
        <v>4.7419999999999997E-3</v>
      </c>
      <c r="F3" t="s">
        <v>459</v>
      </c>
      <c r="G3" s="11">
        <f>AVERAGE('Persamaan 2'!B3:B48)</f>
        <v>48.468097826086954</v>
      </c>
      <c r="H3" s="11">
        <f>AVERAGE('Persamaan 2'!F3:F48)</f>
        <v>2.319263938407123</v>
      </c>
      <c r="I3" s="11">
        <f>AVERAGE('Persamaan 2'!G3:G48)</f>
        <v>198.54988609783103</v>
      </c>
      <c r="J3" s="11">
        <f>AVERAGE('Persamaan 2'!H3:H48)</f>
        <v>130.23022850660399</v>
      </c>
      <c r="K3" s="11">
        <f>AVERAGE('Persamaan 2'!J3:J48)</f>
        <v>645150.83336504584</v>
      </c>
      <c r="L3" s="11">
        <f>AVERAGE('Persamaan 2'!I3:I48)</f>
        <v>47.783346063375419</v>
      </c>
    </row>
    <row r="4" spans="1:13" ht="29" x14ac:dyDescent="0.35">
      <c r="A4" t="s">
        <v>76</v>
      </c>
      <c r="B4" s="27">
        <v>7.783E-3</v>
      </c>
      <c r="F4" s="80" t="s">
        <v>460</v>
      </c>
      <c r="H4">
        <f>H3/$G$3</f>
        <v>4.7851350526053181E-2</v>
      </c>
      <c r="I4">
        <f t="shared" ref="I4:L4" si="0">I3/$G$3</f>
        <v>4.0965066714659812</v>
      </c>
      <c r="J4">
        <f t="shared" si="0"/>
        <v>2.6869267486810728</v>
      </c>
      <c r="K4">
        <f t="shared" si="0"/>
        <v>13310.834596397277</v>
      </c>
      <c r="L4">
        <f t="shared" si="0"/>
        <v>0.98587211395898888</v>
      </c>
    </row>
    <row r="5" spans="1:13" x14ac:dyDescent="0.35">
      <c r="A5" t="s">
        <v>77</v>
      </c>
      <c r="B5" s="27">
        <v>0.765316</v>
      </c>
      <c r="F5" t="s">
        <v>461</v>
      </c>
      <c r="H5" s="27">
        <f>B2</f>
        <v>-5.9474299999999998</v>
      </c>
      <c r="I5" s="27">
        <f>B3</f>
        <v>4.7419999999999997E-3</v>
      </c>
      <c r="J5" s="27">
        <f>B4</f>
        <v>7.783E-3</v>
      </c>
      <c r="K5" s="27">
        <f>B6</f>
        <v>-8.1630000000000001E-3</v>
      </c>
      <c r="L5" s="27">
        <f>B5</f>
        <v>0.765316</v>
      </c>
    </row>
    <row r="6" spans="1:13" x14ac:dyDescent="0.35">
      <c r="A6" t="s">
        <v>74</v>
      </c>
      <c r="B6" s="27">
        <v>-8.1630000000000001E-3</v>
      </c>
      <c r="F6" t="s">
        <v>462</v>
      </c>
      <c r="H6">
        <f>H5*H4</f>
        <v>-0.28459255765916447</v>
      </c>
      <c r="I6">
        <f>I5*I4</f>
        <v>1.9425634636091683E-2</v>
      </c>
      <c r="J6">
        <f>J5*J4</f>
        <v>2.091235088498479E-2</v>
      </c>
      <c r="K6">
        <f>K5*K4</f>
        <v>-108.65634281039097</v>
      </c>
    </row>
    <row r="7" spans="1:13" ht="14.5" customHeight="1" thickBot="1" x14ac:dyDescent="0.4">
      <c r="A7" s="74" t="s">
        <v>456</v>
      </c>
      <c r="B7" s="27">
        <v>3.6459160000000002</v>
      </c>
      <c r="F7" t="s">
        <v>463</v>
      </c>
      <c r="H7">
        <f>H6/(1-$L$5)</f>
        <v>-1.2126628047040466</v>
      </c>
      <c r="I7">
        <f t="shared" ref="I7:J7" si="1">I6/(1-$L$5)</f>
        <v>8.2773579093980351E-2</v>
      </c>
      <c r="J7">
        <f t="shared" si="1"/>
        <v>8.9108549730636893E-2</v>
      </c>
      <c r="K7">
        <f>K6/(1-$L$5)</f>
        <v>-462.98998998820099</v>
      </c>
    </row>
    <row r="8" spans="1:13" ht="14.5" customHeight="1" x14ac:dyDescent="0.35"/>
    <row r="12" spans="1:13" ht="31" customHeight="1" x14ac:dyDescent="0.35">
      <c r="A12" s="110" t="s">
        <v>441</v>
      </c>
      <c r="B12" s="110" t="s">
        <v>442</v>
      </c>
      <c r="C12" s="110" t="s">
        <v>443</v>
      </c>
      <c r="D12" s="112" t="s">
        <v>625</v>
      </c>
      <c r="E12" s="112"/>
      <c r="F12" s="110" t="s">
        <v>444</v>
      </c>
    </row>
    <row r="13" spans="1:13" ht="15.5" x14ac:dyDescent="0.35">
      <c r="A13" s="111"/>
      <c r="B13" s="111"/>
      <c r="C13" s="111"/>
      <c r="D13" s="92" t="s">
        <v>626</v>
      </c>
      <c r="E13" s="92" t="s">
        <v>627</v>
      </c>
      <c r="F13" s="111"/>
    </row>
    <row r="14" spans="1:13" ht="139.5" x14ac:dyDescent="0.35">
      <c r="A14" s="67" t="s">
        <v>160</v>
      </c>
      <c r="B14" s="68">
        <v>-5956</v>
      </c>
      <c r="C14" s="67" t="s">
        <v>467</v>
      </c>
      <c r="D14" s="72">
        <v>-0.28459255765916447</v>
      </c>
      <c r="E14" s="72">
        <v>-1.2126628047040466</v>
      </c>
      <c r="F14" s="69" t="s">
        <v>468</v>
      </c>
    </row>
    <row r="15" spans="1:13" ht="93" x14ac:dyDescent="0.35">
      <c r="A15" s="67" t="s">
        <v>155</v>
      </c>
      <c r="B15" s="90" t="s">
        <v>469</v>
      </c>
      <c r="C15" s="90" t="s">
        <v>470</v>
      </c>
      <c r="D15" s="72">
        <v>1.9425634636091683E-2</v>
      </c>
      <c r="E15" s="72">
        <v>8.2773579093980351E-2</v>
      </c>
      <c r="F15" s="69" t="s">
        <v>643</v>
      </c>
    </row>
    <row r="16" spans="1:13" ht="77.5" x14ac:dyDescent="0.35">
      <c r="A16" s="67" t="s">
        <v>130</v>
      </c>
      <c r="B16" s="67" t="s">
        <v>471</v>
      </c>
      <c r="C16" s="67" t="s">
        <v>472</v>
      </c>
      <c r="D16" s="72">
        <v>2.091235088498479E-2</v>
      </c>
      <c r="E16" s="72">
        <v>8.9108549730636893E-2</v>
      </c>
      <c r="F16" s="69" t="s">
        <v>473</v>
      </c>
    </row>
    <row r="17" spans="1:6" ht="108.5" x14ac:dyDescent="0.35">
      <c r="A17" s="67" t="s">
        <v>162</v>
      </c>
      <c r="B17" s="67" t="s">
        <v>474</v>
      </c>
      <c r="C17" s="67" t="s">
        <v>475</v>
      </c>
      <c r="D17" s="72">
        <v>-108.65634281039097</v>
      </c>
      <c r="E17" s="72">
        <v>-462.98998998820099</v>
      </c>
      <c r="F17" s="69" t="s">
        <v>476</v>
      </c>
    </row>
    <row r="18" spans="1:6" ht="77.5" x14ac:dyDescent="0.35">
      <c r="A18" s="67" t="s">
        <v>81</v>
      </c>
      <c r="B18" s="67" t="s">
        <v>471</v>
      </c>
      <c r="C18" s="67" t="s">
        <v>477</v>
      </c>
      <c r="D18" s="69"/>
      <c r="E18" s="69"/>
      <c r="F18" s="69" t="s">
        <v>478</v>
      </c>
    </row>
    <row r="19" spans="1:6" ht="15.5" x14ac:dyDescent="0.35">
      <c r="A19" s="67" t="s">
        <v>456</v>
      </c>
      <c r="B19" s="68">
        <v>3753</v>
      </c>
      <c r="C19" s="67" t="s">
        <v>479</v>
      </c>
      <c r="D19" s="69"/>
      <c r="E19" s="69"/>
      <c r="F19" s="69"/>
    </row>
    <row r="20" spans="1:6" ht="15.5" x14ac:dyDescent="0.35">
      <c r="A20" s="109" t="s">
        <v>480</v>
      </c>
      <c r="B20" s="109"/>
      <c r="C20" s="109"/>
      <c r="D20" s="109"/>
      <c r="E20" s="109"/>
      <c r="F20" s="109"/>
    </row>
  </sheetData>
  <mergeCells count="6">
    <mergeCell ref="A20:F20"/>
    <mergeCell ref="A12:A13"/>
    <mergeCell ref="B12:B13"/>
    <mergeCell ref="C12:C13"/>
    <mergeCell ref="F12:F13"/>
    <mergeCell ref="D12:E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"/>
  <sheetViews>
    <sheetView topLeftCell="A37" workbookViewId="0">
      <selection activeCell="F56" sqref="F56:G56"/>
    </sheetView>
  </sheetViews>
  <sheetFormatPr defaultRowHeight="14.5" x14ac:dyDescent="0.35"/>
  <cols>
    <col min="5" max="5" width="14.7265625" customWidth="1"/>
    <col min="6" max="6" width="14.54296875" bestFit="1" customWidth="1"/>
    <col min="9" max="9" width="11.7265625" bestFit="1" customWidth="1"/>
    <col min="11" max="11" width="10.7265625" bestFit="1" customWidth="1"/>
  </cols>
  <sheetData>
    <row r="1" spans="1:13" x14ac:dyDescent="0.35">
      <c r="C1" t="s">
        <v>78</v>
      </c>
      <c r="E1" s="108" t="s">
        <v>70</v>
      </c>
      <c r="F1" s="108"/>
      <c r="G1" s="108"/>
      <c r="H1" t="s">
        <v>79</v>
      </c>
      <c r="I1" t="s">
        <v>80</v>
      </c>
      <c r="K1" t="s">
        <v>330</v>
      </c>
      <c r="L1" t="s">
        <v>327</v>
      </c>
    </row>
    <row r="2" spans="1:13" ht="15.5" x14ac:dyDescent="0.35">
      <c r="E2" s="9" t="s">
        <v>67</v>
      </c>
      <c r="F2" s="8" t="s">
        <v>68</v>
      </c>
      <c r="G2" t="s">
        <v>69</v>
      </c>
    </row>
    <row r="3" spans="1:13" x14ac:dyDescent="0.35">
      <c r="A3">
        <v>2000</v>
      </c>
      <c r="B3">
        <v>1</v>
      </c>
      <c r="C3" s="7">
        <v>129</v>
      </c>
      <c r="D3" s="7"/>
      <c r="E3" s="7">
        <v>1890</v>
      </c>
      <c r="F3" s="7">
        <v>1050</v>
      </c>
      <c r="G3" s="14">
        <v>1.8</v>
      </c>
      <c r="H3" s="14">
        <v>2.64</v>
      </c>
      <c r="I3" s="15">
        <v>131</v>
      </c>
      <c r="K3" s="7">
        <v>129</v>
      </c>
      <c r="L3">
        <v>109.29537832</v>
      </c>
      <c r="M3" s="6">
        <v>19.704621680000002</v>
      </c>
    </row>
    <row r="4" spans="1:13" x14ac:dyDescent="0.35">
      <c r="B4">
        <v>2</v>
      </c>
      <c r="C4" s="7">
        <v>128</v>
      </c>
      <c r="D4" s="20">
        <v>-7.7519379844961239E-3</v>
      </c>
      <c r="E4" s="7">
        <v>1984.5</v>
      </c>
      <c r="F4" s="7">
        <v>1075</v>
      </c>
      <c r="G4" s="14">
        <v>1.846046511627907</v>
      </c>
      <c r="H4" s="14">
        <v>2.6850000000000001</v>
      </c>
      <c r="I4" s="15">
        <v>130</v>
      </c>
      <c r="K4" s="7">
        <v>128</v>
      </c>
      <c r="L4">
        <v>108.62631232313953</v>
      </c>
      <c r="M4" s="6">
        <v>19.37368767686047</v>
      </c>
    </row>
    <row r="5" spans="1:13" x14ac:dyDescent="0.35">
      <c r="A5">
        <v>2001</v>
      </c>
      <c r="B5">
        <v>1</v>
      </c>
      <c r="C5" s="7">
        <v>127</v>
      </c>
      <c r="D5" s="20">
        <v>-7.7519379844961239E-3</v>
      </c>
      <c r="E5" s="7">
        <v>2079</v>
      </c>
      <c r="F5" s="7">
        <v>1100</v>
      </c>
      <c r="G5" s="14">
        <v>1.89</v>
      </c>
      <c r="H5" s="14">
        <v>2.73</v>
      </c>
      <c r="I5" s="15">
        <v>129</v>
      </c>
      <c r="K5" s="7">
        <v>127</v>
      </c>
      <c r="L5">
        <v>107.96825637999999</v>
      </c>
      <c r="M5" s="6">
        <v>19.031743620000015</v>
      </c>
    </row>
    <row r="6" spans="1:13" x14ac:dyDescent="0.35">
      <c r="B6">
        <v>2</v>
      </c>
      <c r="C6" s="7">
        <v>128</v>
      </c>
      <c r="D6" s="20">
        <v>7.7519379844961239E-3</v>
      </c>
      <c r="E6" s="7">
        <v>2146.5</v>
      </c>
      <c r="F6" s="7">
        <v>1125</v>
      </c>
      <c r="G6" s="14">
        <v>1.9079999999999999</v>
      </c>
      <c r="H6" s="14">
        <v>2.8</v>
      </c>
      <c r="I6" s="15">
        <v>128</v>
      </c>
      <c r="K6" s="7">
        <v>128</v>
      </c>
      <c r="L6">
        <v>107.441627428</v>
      </c>
      <c r="M6" s="6">
        <v>20.558372571999996</v>
      </c>
    </row>
    <row r="7" spans="1:13" x14ac:dyDescent="0.35">
      <c r="A7">
        <v>2002</v>
      </c>
      <c r="B7">
        <v>1</v>
      </c>
      <c r="C7" s="7">
        <v>129</v>
      </c>
      <c r="D7" s="20">
        <v>7.7519379844961239E-3</v>
      </c>
      <c r="E7" s="7">
        <v>2214</v>
      </c>
      <c r="F7" s="7">
        <v>1150</v>
      </c>
      <c r="G7" s="14">
        <v>1.9252173913043478</v>
      </c>
      <c r="H7" s="14">
        <v>2.87</v>
      </c>
      <c r="I7" s="15">
        <v>127</v>
      </c>
      <c r="K7" s="7">
        <v>129</v>
      </c>
      <c r="L7">
        <v>106.91911527869564</v>
      </c>
      <c r="M7" s="6">
        <v>22.080884721304358</v>
      </c>
    </row>
    <row r="8" spans="1:13" x14ac:dyDescent="0.35">
      <c r="B8">
        <v>2</v>
      </c>
      <c r="C8" s="7">
        <v>127.5</v>
      </c>
      <c r="D8" s="20">
        <v>-1.1627906976744186E-2</v>
      </c>
      <c r="E8" s="7">
        <v>2366.5</v>
      </c>
      <c r="F8" s="7">
        <v>1175</v>
      </c>
      <c r="G8" s="14">
        <v>2.0140425531914894</v>
      </c>
      <c r="H8" s="14">
        <v>2.8050000000000002</v>
      </c>
      <c r="I8" s="15">
        <v>128</v>
      </c>
      <c r="K8" s="7">
        <v>127.5</v>
      </c>
      <c r="L8">
        <v>106.88278599393617</v>
      </c>
      <c r="M8" s="6">
        <v>20.617214006063833</v>
      </c>
    </row>
    <row r="9" spans="1:13" x14ac:dyDescent="0.35">
      <c r="A9">
        <v>2003</v>
      </c>
      <c r="B9">
        <v>1</v>
      </c>
      <c r="C9" s="7">
        <v>126</v>
      </c>
      <c r="D9" s="20">
        <v>-1.1627906976744186E-2</v>
      </c>
      <c r="E9" s="7">
        <v>2519</v>
      </c>
      <c r="F9" s="7">
        <v>1200</v>
      </c>
      <c r="G9" s="14">
        <v>2.0991666666666666</v>
      </c>
      <c r="H9" s="14">
        <v>2.74</v>
      </c>
      <c r="I9" s="15">
        <v>129</v>
      </c>
      <c r="K9" s="7">
        <v>126</v>
      </c>
      <c r="L9">
        <v>106.86592555249999</v>
      </c>
      <c r="M9" s="6">
        <v>19.134074447500012</v>
      </c>
    </row>
    <row r="10" spans="1:13" x14ac:dyDescent="0.35">
      <c r="B10">
        <v>2</v>
      </c>
      <c r="C10" s="7">
        <v>123</v>
      </c>
      <c r="D10" s="20">
        <v>-2.3255813953488372E-2</v>
      </c>
      <c r="E10" s="7">
        <v>2630</v>
      </c>
      <c r="F10" s="7">
        <v>1225</v>
      </c>
      <c r="G10" s="14">
        <v>2.1469387755102041</v>
      </c>
      <c r="H10" s="14">
        <v>2.8050000000000002</v>
      </c>
      <c r="I10" s="15">
        <v>127.5</v>
      </c>
      <c r="K10" s="7">
        <v>123</v>
      </c>
      <c r="L10">
        <v>105.97486965479592</v>
      </c>
      <c r="M10" s="6">
        <v>17.025130345204076</v>
      </c>
    </row>
    <row r="11" spans="1:13" x14ac:dyDescent="0.35">
      <c r="A11">
        <v>2004</v>
      </c>
      <c r="B11">
        <v>1</v>
      </c>
      <c r="C11" s="7">
        <v>120</v>
      </c>
      <c r="D11" s="20">
        <v>-2.3255813953488372E-2</v>
      </c>
      <c r="E11" s="7">
        <v>2741</v>
      </c>
      <c r="F11" s="7">
        <v>1250</v>
      </c>
      <c r="G11" s="14">
        <v>2.1928000000000001</v>
      </c>
      <c r="H11" s="14">
        <v>2.87</v>
      </c>
      <c r="I11" s="15">
        <v>126</v>
      </c>
      <c r="K11" s="7">
        <v>120</v>
      </c>
      <c r="L11">
        <v>105.0938656948</v>
      </c>
      <c r="M11" s="6">
        <v>14.906134305199998</v>
      </c>
    </row>
    <row r="12" spans="1:13" x14ac:dyDescent="0.35">
      <c r="B12">
        <v>2</v>
      </c>
      <c r="C12" s="7">
        <v>123.5</v>
      </c>
      <c r="D12" s="20">
        <v>2.7131782945736434E-2</v>
      </c>
      <c r="E12" s="7">
        <v>2770.5</v>
      </c>
      <c r="F12" s="7">
        <v>1275</v>
      </c>
      <c r="G12" s="14">
        <v>2.1729411764705882</v>
      </c>
      <c r="H12" s="14">
        <v>2.9050000000000002</v>
      </c>
      <c r="I12" s="15">
        <v>123</v>
      </c>
      <c r="K12" s="7">
        <v>123.5</v>
      </c>
      <c r="L12">
        <v>103.93818649088234</v>
      </c>
      <c r="M12" s="6">
        <v>19.561813509117655</v>
      </c>
    </row>
    <row r="13" spans="1:13" x14ac:dyDescent="0.35">
      <c r="A13">
        <v>2005</v>
      </c>
      <c r="B13">
        <v>1</v>
      </c>
      <c r="C13" s="7">
        <v>127</v>
      </c>
      <c r="D13" s="20">
        <v>2.7131782945736434E-2</v>
      </c>
      <c r="E13" s="7">
        <v>2800</v>
      </c>
      <c r="F13" s="7">
        <v>1300</v>
      </c>
      <c r="G13" s="14">
        <v>2.1538461538461537</v>
      </c>
      <c r="H13" s="14">
        <v>2.94</v>
      </c>
      <c r="I13" s="15">
        <v>120</v>
      </c>
      <c r="K13" s="7">
        <v>127</v>
      </c>
      <c r="L13">
        <v>102.77848942</v>
      </c>
      <c r="M13" s="6">
        <v>24.22151058</v>
      </c>
    </row>
    <row r="14" spans="1:13" x14ac:dyDescent="0.35">
      <c r="B14">
        <v>2</v>
      </c>
      <c r="C14" s="7">
        <v>126.5</v>
      </c>
      <c r="D14" s="20">
        <v>-3.875968992248062E-3</v>
      </c>
      <c r="E14" s="7">
        <v>2830</v>
      </c>
      <c r="F14" s="7">
        <v>1325</v>
      </c>
      <c r="G14" s="14">
        <v>2.1358490566037736</v>
      </c>
      <c r="H14" s="14">
        <v>3.0049999999999999</v>
      </c>
      <c r="I14" s="15">
        <v>123.5</v>
      </c>
      <c r="K14" s="7">
        <v>126.5</v>
      </c>
      <c r="L14">
        <v>104.32174815745283</v>
      </c>
      <c r="M14" s="6">
        <v>22.178251842547169</v>
      </c>
    </row>
    <row r="15" spans="1:13" x14ac:dyDescent="0.35">
      <c r="A15">
        <v>2006</v>
      </c>
      <c r="B15">
        <v>1</v>
      </c>
      <c r="C15" s="7">
        <v>126</v>
      </c>
      <c r="D15" s="20">
        <v>-3.875968992248062E-3</v>
      </c>
      <c r="E15" s="7">
        <v>2860</v>
      </c>
      <c r="F15" s="7">
        <v>1350</v>
      </c>
      <c r="G15" s="14">
        <v>2.1185185185185187</v>
      </c>
      <c r="H15" s="14">
        <v>3.07</v>
      </c>
      <c r="I15" s="15">
        <v>127</v>
      </c>
      <c r="K15" s="7">
        <v>126</v>
      </c>
      <c r="L15">
        <v>105.86150055444445</v>
      </c>
      <c r="M15" s="6">
        <v>20.138499445555553</v>
      </c>
    </row>
    <row r="16" spans="1:13" x14ac:dyDescent="0.35">
      <c r="B16">
        <v>2</v>
      </c>
      <c r="C16" s="7">
        <v>123</v>
      </c>
      <c r="D16" s="20">
        <v>-2.3255813953488372E-2</v>
      </c>
      <c r="E16" s="7">
        <v>2993</v>
      </c>
      <c r="F16" s="7">
        <v>1375</v>
      </c>
      <c r="G16" s="14">
        <v>2.1767272727272728</v>
      </c>
      <c r="H16" s="14">
        <v>3.16</v>
      </c>
      <c r="I16" s="15">
        <v>126.5</v>
      </c>
      <c r="K16" s="7">
        <v>123</v>
      </c>
      <c r="L16">
        <v>105.32811548036364</v>
      </c>
      <c r="M16" s="6">
        <v>17.671884519636365</v>
      </c>
    </row>
    <row r="17" spans="1:13" x14ac:dyDescent="0.35">
      <c r="A17">
        <v>2007</v>
      </c>
      <c r="B17">
        <v>1</v>
      </c>
      <c r="C17" s="7">
        <v>120</v>
      </c>
      <c r="D17" s="20">
        <v>-2.3255813953488372E-2</v>
      </c>
      <c r="E17" s="7">
        <v>3126</v>
      </c>
      <c r="F17" s="7">
        <v>1400</v>
      </c>
      <c r="G17" s="14">
        <v>2.2328571428571427</v>
      </c>
      <c r="H17" s="14">
        <v>3.25</v>
      </c>
      <c r="I17" s="15">
        <v>126</v>
      </c>
      <c r="K17" s="7">
        <v>120</v>
      </c>
      <c r="L17">
        <v>104.80566608285714</v>
      </c>
      <c r="M17" s="6">
        <v>15.194333917142856</v>
      </c>
    </row>
    <row r="18" spans="1:13" x14ac:dyDescent="0.35">
      <c r="B18">
        <v>2</v>
      </c>
      <c r="C18" s="7">
        <v>123.5</v>
      </c>
      <c r="D18" s="20">
        <v>2.7131782945736434E-2</v>
      </c>
      <c r="E18" s="7">
        <v>3194.5</v>
      </c>
      <c r="F18" s="7">
        <v>1425</v>
      </c>
      <c r="G18" s="14">
        <v>2.2417543859649123</v>
      </c>
      <c r="H18" s="14">
        <v>3.2850000000000001</v>
      </c>
      <c r="I18" s="15">
        <v>123</v>
      </c>
      <c r="K18" s="7">
        <v>123.5</v>
      </c>
      <c r="L18">
        <v>103.49871964499999</v>
      </c>
      <c r="M18" s="6">
        <v>20.001280355000006</v>
      </c>
    </row>
    <row r="19" spans="1:13" x14ac:dyDescent="0.35">
      <c r="A19">
        <v>2008</v>
      </c>
      <c r="B19">
        <v>1</v>
      </c>
      <c r="C19" s="7">
        <v>127</v>
      </c>
      <c r="D19" s="20">
        <v>2.7131782945736434E-2</v>
      </c>
      <c r="E19" s="7">
        <v>3263</v>
      </c>
      <c r="F19" s="7">
        <v>1450</v>
      </c>
      <c r="G19" s="14">
        <v>2.2503448275862068</v>
      </c>
      <c r="H19" s="14">
        <v>3.32</v>
      </c>
      <c r="I19" s="15">
        <v>120</v>
      </c>
      <c r="K19" s="7">
        <v>127</v>
      </c>
      <c r="L19">
        <v>102.19338709310344</v>
      </c>
      <c r="M19" s="6">
        <v>24.806612906896561</v>
      </c>
    </row>
    <row r="20" spans="1:13" x14ac:dyDescent="0.35">
      <c r="B20">
        <v>2</v>
      </c>
      <c r="C20" s="7">
        <v>129.5</v>
      </c>
      <c r="D20" s="20">
        <v>1.937984496124031E-2</v>
      </c>
      <c r="E20" s="7">
        <v>3380.5</v>
      </c>
      <c r="F20" s="7">
        <v>1475</v>
      </c>
      <c r="G20" s="14">
        <v>2.291864406779661</v>
      </c>
      <c r="H20" s="14">
        <v>3.57</v>
      </c>
      <c r="I20" s="15">
        <v>123.5</v>
      </c>
      <c r="K20" s="7">
        <v>129.5</v>
      </c>
      <c r="L20">
        <v>103.38584395101695</v>
      </c>
      <c r="M20" s="6">
        <v>26.114156048983048</v>
      </c>
    </row>
    <row r="21" spans="1:13" x14ac:dyDescent="0.35">
      <c r="A21">
        <v>2009</v>
      </c>
      <c r="B21">
        <v>1</v>
      </c>
      <c r="C21" s="7">
        <v>132</v>
      </c>
      <c r="D21" s="20">
        <v>1.937984496124031E-2</v>
      </c>
      <c r="E21" s="7">
        <v>3498</v>
      </c>
      <c r="F21" s="7">
        <v>1500</v>
      </c>
      <c r="G21" s="14">
        <v>2.3319999999999999</v>
      </c>
      <c r="H21" s="14">
        <v>3.82</v>
      </c>
      <c r="I21" s="15">
        <v>127</v>
      </c>
      <c r="K21" s="7">
        <v>132</v>
      </c>
      <c r="L21">
        <v>104.585581072</v>
      </c>
      <c r="M21" s="6">
        <v>27.414418928000003</v>
      </c>
    </row>
    <row r="22" spans="1:13" x14ac:dyDescent="0.35">
      <c r="B22">
        <v>2</v>
      </c>
      <c r="C22" s="7">
        <v>126</v>
      </c>
      <c r="D22" s="20">
        <v>-4.6511627906976744E-2</v>
      </c>
      <c r="E22" s="7">
        <v>3572.5</v>
      </c>
      <c r="F22" s="7">
        <v>1575</v>
      </c>
      <c r="G22" s="14">
        <v>2.2682539682539682</v>
      </c>
      <c r="H22" s="14">
        <v>3.915</v>
      </c>
      <c r="I22" s="15">
        <v>129.5</v>
      </c>
      <c r="K22" s="7">
        <v>126</v>
      </c>
      <c r="L22">
        <v>105.94570941880951</v>
      </c>
      <c r="M22" s="6">
        <v>20.054290581190486</v>
      </c>
    </row>
    <row r="23" spans="1:13" x14ac:dyDescent="0.35">
      <c r="A23">
        <v>2010</v>
      </c>
      <c r="B23">
        <v>1</v>
      </c>
      <c r="C23" s="7">
        <v>120</v>
      </c>
      <c r="D23" s="20">
        <v>-4.6511627906976744E-2</v>
      </c>
      <c r="E23" s="7">
        <v>3647</v>
      </c>
      <c r="F23" s="7">
        <v>1650</v>
      </c>
      <c r="G23" s="14">
        <v>2.2103030303030304</v>
      </c>
      <c r="H23" s="14">
        <v>4.01</v>
      </c>
      <c r="I23" s="15">
        <v>132</v>
      </c>
      <c r="K23" s="7">
        <v>120</v>
      </c>
      <c r="L23">
        <v>107.27535349181818</v>
      </c>
      <c r="M23" s="6">
        <v>12.72464650818182</v>
      </c>
    </row>
    <row r="24" spans="1:13" x14ac:dyDescent="0.35">
      <c r="B24">
        <v>2</v>
      </c>
      <c r="C24" s="7">
        <v>122.5</v>
      </c>
      <c r="D24" s="20">
        <v>1.937984496124031E-2</v>
      </c>
      <c r="E24" s="7">
        <v>3713.5</v>
      </c>
      <c r="F24" s="7">
        <v>1675</v>
      </c>
      <c r="G24" s="14">
        <v>2.2170149253731344</v>
      </c>
      <c r="H24" s="14">
        <v>4.12</v>
      </c>
      <c r="I24" s="15">
        <v>126</v>
      </c>
      <c r="K24" s="7">
        <v>122.5</v>
      </c>
      <c r="L24">
        <v>104.7116027441791</v>
      </c>
      <c r="M24" s="6">
        <v>17.788397255820897</v>
      </c>
    </row>
    <row r="25" spans="1:13" x14ac:dyDescent="0.35">
      <c r="A25">
        <v>2011</v>
      </c>
      <c r="B25">
        <v>1</v>
      </c>
      <c r="C25" s="7">
        <v>125</v>
      </c>
      <c r="D25" s="20">
        <v>1.937984496124031E-2</v>
      </c>
      <c r="E25" s="7">
        <v>3780</v>
      </c>
      <c r="F25" s="7">
        <v>1700</v>
      </c>
      <c r="G25" s="14">
        <v>2.223529411764706</v>
      </c>
      <c r="H25" s="14">
        <v>4.2300000000000004</v>
      </c>
      <c r="I25" s="15">
        <v>120</v>
      </c>
      <c r="K25" s="7">
        <v>125</v>
      </c>
      <c r="L25">
        <v>102.14889043705881</v>
      </c>
      <c r="M25" s="6">
        <v>22.85110956294119</v>
      </c>
    </row>
    <row r="26" spans="1:13" x14ac:dyDescent="0.35">
      <c r="B26">
        <v>2</v>
      </c>
      <c r="C26" s="7">
        <v>130</v>
      </c>
      <c r="D26" s="20">
        <v>3.875968992248062E-2</v>
      </c>
      <c r="E26" s="7">
        <v>3931</v>
      </c>
      <c r="F26" s="7">
        <v>1775</v>
      </c>
      <c r="G26" s="14">
        <v>2.2146478873239435</v>
      </c>
      <c r="H26" s="14">
        <v>4.4950000000000001</v>
      </c>
      <c r="I26" s="15">
        <v>122.5</v>
      </c>
      <c r="K26" s="7">
        <v>130</v>
      </c>
      <c r="L26">
        <v>103.18574758908451</v>
      </c>
      <c r="M26" s="6">
        <v>26.814252410915486</v>
      </c>
    </row>
    <row r="27" spans="1:13" x14ac:dyDescent="0.35">
      <c r="A27">
        <v>2012</v>
      </c>
      <c r="B27">
        <v>1</v>
      </c>
      <c r="C27" s="7">
        <v>135</v>
      </c>
      <c r="D27" s="20">
        <v>3.875968992248062E-2</v>
      </c>
      <c r="E27" s="7">
        <v>4082</v>
      </c>
      <c r="F27" s="7">
        <v>1850</v>
      </c>
      <c r="G27" s="14">
        <v>2.2064864864864866</v>
      </c>
      <c r="H27" s="14">
        <v>4.76</v>
      </c>
      <c r="I27" s="15">
        <v>125</v>
      </c>
      <c r="K27" s="7">
        <v>135</v>
      </c>
      <c r="L27">
        <v>104.21881663243244</v>
      </c>
      <c r="M27" s="6">
        <v>30.781183367567564</v>
      </c>
    </row>
    <row r="28" spans="1:13" x14ac:dyDescent="0.35">
      <c r="B28">
        <v>2</v>
      </c>
      <c r="C28" s="7">
        <v>151</v>
      </c>
      <c r="D28" s="20">
        <v>0.12403100775193798</v>
      </c>
      <c r="E28" s="7">
        <v>4352.5</v>
      </c>
      <c r="F28" s="7">
        <v>1875</v>
      </c>
      <c r="G28" s="14">
        <v>2.3213333333333335</v>
      </c>
      <c r="H28" s="14">
        <v>5.0649999999999995</v>
      </c>
      <c r="I28" s="15">
        <v>130</v>
      </c>
      <c r="K28" s="7">
        <v>151</v>
      </c>
      <c r="L28">
        <v>105.640834353</v>
      </c>
      <c r="M28" s="6">
        <v>45.359165646999998</v>
      </c>
    </row>
    <row r="29" spans="1:13" x14ac:dyDescent="0.35">
      <c r="A29">
        <v>2013</v>
      </c>
      <c r="B29">
        <v>1</v>
      </c>
      <c r="C29" s="7">
        <v>167</v>
      </c>
      <c r="D29" s="20">
        <v>0.12403100775193798</v>
      </c>
      <c r="E29" s="7">
        <v>4623</v>
      </c>
      <c r="F29" s="7">
        <v>1900</v>
      </c>
      <c r="G29" s="14">
        <v>2.433157894736842</v>
      </c>
      <c r="H29" s="14">
        <v>5.37</v>
      </c>
      <c r="I29" s="15">
        <v>135</v>
      </c>
      <c r="K29" s="7">
        <v>167</v>
      </c>
      <c r="L29">
        <v>107.07875038</v>
      </c>
      <c r="M29" s="6">
        <v>59.921249619999998</v>
      </c>
    </row>
    <row r="30" spans="1:13" x14ac:dyDescent="0.35">
      <c r="B30">
        <v>2</v>
      </c>
      <c r="C30" s="7">
        <v>159</v>
      </c>
      <c r="D30" s="20">
        <v>-6.2015503875968991E-2</v>
      </c>
      <c r="E30" s="7">
        <v>4780.5</v>
      </c>
      <c r="F30" s="7">
        <v>1925</v>
      </c>
      <c r="G30" s="14">
        <v>2.4833766233766235</v>
      </c>
      <c r="H30" s="14">
        <v>5.79</v>
      </c>
      <c r="I30" s="15">
        <v>151</v>
      </c>
      <c r="K30" s="7">
        <v>159</v>
      </c>
      <c r="L30">
        <v>113.41164489883116</v>
      </c>
      <c r="M30" s="6">
        <v>45.588355101168844</v>
      </c>
    </row>
    <row r="31" spans="1:13" x14ac:dyDescent="0.35">
      <c r="A31">
        <v>2014</v>
      </c>
      <c r="B31">
        <v>1</v>
      </c>
      <c r="C31" s="7">
        <v>151</v>
      </c>
      <c r="D31" s="20">
        <v>-6.2015503875968991E-2</v>
      </c>
      <c r="E31" s="7">
        <v>4938</v>
      </c>
      <c r="F31" s="7">
        <v>1950</v>
      </c>
      <c r="G31" s="14">
        <v>2.5323076923076924</v>
      </c>
      <c r="H31" s="14">
        <v>6.21</v>
      </c>
      <c r="I31" s="15">
        <v>167</v>
      </c>
      <c r="K31" s="7">
        <v>151</v>
      </c>
      <c r="L31">
        <v>119.75131297</v>
      </c>
      <c r="M31" s="6">
        <v>31.248687029999999</v>
      </c>
    </row>
    <row r="32" spans="1:13" x14ac:dyDescent="0.35">
      <c r="B32">
        <v>2</v>
      </c>
      <c r="C32" s="7">
        <v>137</v>
      </c>
      <c r="D32" s="20">
        <v>-0.10852713178294573</v>
      </c>
      <c r="E32" s="7">
        <v>5050.5</v>
      </c>
      <c r="F32" s="7">
        <v>1950</v>
      </c>
      <c r="G32" s="14">
        <v>2.59</v>
      </c>
      <c r="H32" s="14">
        <v>6.9700000000000006</v>
      </c>
      <c r="I32" s="15">
        <v>159</v>
      </c>
      <c r="K32" s="7">
        <v>137</v>
      </c>
      <c r="L32">
        <v>115.95150940000001</v>
      </c>
      <c r="M32" s="6">
        <v>21.048490599999994</v>
      </c>
    </row>
    <row r="33" spans="1:13" x14ac:dyDescent="0.35">
      <c r="A33">
        <v>2015</v>
      </c>
      <c r="B33">
        <v>1</v>
      </c>
      <c r="C33" s="7">
        <v>123</v>
      </c>
      <c r="D33" s="20">
        <v>-0.10852713178294573</v>
      </c>
      <c r="E33" s="7">
        <v>5163</v>
      </c>
      <c r="F33" s="7">
        <v>1950</v>
      </c>
      <c r="G33" s="14">
        <v>2.6476923076923078</v>
      </c>
      <c r="H33" s="14">
        <v>7.73</v>
      </c>
      <c r="I33" s="15">
        <v>151</v>
      </c>
      <c r="K33" s="7">
        <v>123</v>
      </c>
      <c r="L33">
        <v>112.15170583</v>
      </c>
      <c r="M33" s="6">
        <v>10.848294170000003</v>
      </c>
    </row>
    <row r="34" spans="1:13" x14ac:dyDescent="0.35">
      <c r="B34">
        <v>2</v>
      </c>
      <c r="C34" s="7">
        <v>122.5</v>
      </c>
      <c r="D34" s="20">
        <v>-3.875968992248062E-3</v>
      </c>
      <c r="E34" s="7">
        <v>5244</v>
      </c>
      <c r="F34" s="7">
        <v>1975</v>
      </c>
      <c r="G34" s="14">
        <v>2.6551898734177217</v>
      </c>
      <c r="H34" s="14">
        <v>8.129999999999999</v>
      </c>
      <c r="I34" s="15">
        <v>137</v>
      </c>
      <c r="K34" s="7">
        <v>122.5</v>
      </c>
      <c r="L34">
        <v>106.18333714265822</v>
      </c>
      <c r="M34" s="6">
        <v>16.316662857341782</v>
      </c>
    </row>
    <row r="35" spans="1:13" x14ac:dyDescent="0.35">
      <c r="A35">
        <v>2016</v>
      </c>
      <c r="B35">
        <v>1</v>
      </c>
      <c r="C35" s="7">
        <v>122</v>
      </c>
      <c r="D35" s="20">
        <v>-3.875968992248062E-3</v>
      </c>
      <c r="E35" s="7">
        <v>5325</v>
      </c>
      <c r="F35" s="7">
        <v>2000</v>
      </c>
      <c r="G35" s="14">
        <v>2.6625000000000001</v>
      </c>
      <c r="H35" s="14">
        <v>8.5299999999999994</v>
      </c>
      <c r="I35" s="15">
        <v>123</v>
      </c>
      <c r="K35" s="7">
        <v>122</v>
      </c>
      <c r="L35">
        <v>100.2159544525</v>
      </c>
      <c r="M35" s="6">
        <v>21.7840455475</v>
      </c>
    </row>
    <row r="36" spans="1:13" x14ac:dyDescent="0.35">
      <c r="B36">
        <v>2</v>
      </c>
      <c r="C36" s="7">
        <v>123.5</v>
      </c>
      <c r="D36" s="20">
        <v>1.1627906976744186E-2</v>
      </c>
      <c r="E36" s="7">
        <v>5637</v>
      </c>
      <c r="F36" s="7">
        <v>2075</v>
      </c>
      <c r="G36" s="14">
        <v>2.7166265060240962</v>
      </c>
      <c r="H36" s="14">
        <v>8.98</v>
      </c>
      <c r="I36" s="15">
        <v>122.5</v>
      </c>
      <c r="K36" s="7">
        <v>123.5</v>
      </c>
      <c r="L36">
        <v>99.630636949397598</v>
      </c>
      <c r="M36" s="6">
        <v>23.869363050602402</v>
      </c>
    </row>
    <row r="37" spans="1:13" x14ac:dyDescent="0.35">
      <c r="A37">
        <v>2017</v>
      </c>
      <c r="B37">
        <v>1</v>
      </c>
      <c r="C37" s="7">
        <v>125</v>
      </c>
      <c r="D37" s="20">
        <v>1.1627906976744186E-2</v>
      </c>
      <c r="E37" s="7">
        <v>5949</v>
      </c>
      <c r="F37" s="7">
        <v>2150</v>
      </c>
      <c r="G37" s="14">
        <v>2.7669767441860467</v>
      </c>
      <c r="H37" s="14">
        <v>9.43</v>
      </c>
      <c r="I37" s="15">
        <v>122</v>
      </c>
      <c r="K37" s="7">
        <v>125</v>
      </c>
      <c r="L37">
        <v>99.065183970930235</v>
      </c>
      <c r="M37" s="6">
        <v>25.934816029069765</v>
      </c>
    </row>
    <row r="38" spans="1:13" x14ac:dyDescent="0.35">
      <c r="B38">
        <v>2</v>
      </c>
      <c r="C38" s="7">
        <v>130</v>
      </c>
      <c r="D38" s="20">
        <v>3.875968992248062E-2</v>
      </c>
      <c r="E38" s="7">
        <v>5806</v>
      </c>
      <c r="F38" s="7">
        <v>2175</v>
      </c>
      <c r="G38" s="14">
        <v>2.6694252873563218</v>
      </c>
      <c r="H38" s="14">
        <v>9.8350000000000009</v>
      </c>
      <c r="I38" s="15">
        <v>123.5</v>
      </c>
      <c r="K38" s="7">
        <v>130</v>
      </c>
      <c r="L38">
        <v>100.12226081982757</v>
      </c>
      <c r="M38" s="6">
        <v>29.877739180172426</v>
      </c>
    </row>
    <row r="39" spans="1:13" x14ac:dyDescent="0.35">
      <c r="A39">
        <v>2018</v>
      </c>
      <c r="B39">
        <v>1</v>
      </c>
      <c r="C39" s="7">
        <v>135</v>
      </c>
      <c r="D39" s="20">
        <v>3.875968992248062E-2</v>
      </c>
      <c r="E39" s="7">
        <v>5663</v>
      </c>
      <c r="F39" s="7">
        <v>2200</v>
      </c>
      <c r="G39" s="14">
        <v>2.5740909090909092</v>
      </c>
      <c r="H39" s="14">
        <v>10.24</v>
      </c>
      <c r="I39" s="15">
        <v>125</v>
      </c>
      <c r="K39" s="7">
        <v>135</v>
      </c>
      <c r="L39">
        <v>101.16767503954546</v>
      </c>
      <c r="M39" s="6">
        <v>33.832324960454542</v>
      </c>
    </row>
    <row r="40" spans="1:13" x14ac:dyDescent="0.35">
      <c r="B40">
        <v>2</v>
      </c>
      <c r="C40" s="7">
        <v>134</v>
      </c>
      <c r="D40" s="20">
        <v>-7.7519379844961239E-3</v>
      </c>
      <c r="E40" s="7">
        <v>5683</v>
      </c>
      <c r="F40" s="7">
        <v>2225</v>
      </c>
      <c r="G40" s="14">
        <v>2.5541573033707867</v>
      </c>
      <c r="H40" s="14">
        <v>10.844999999999999</v>
      </c>
      <c r="I40" s="15">
        <v>130</v>
      </c>
      <c r="K40" s="7">
        <v>134</v>
      </c>
      <c r="L40">
        <v>103.23751422679774</v>
      </c>
      <c r="M40" s="6">
        <v>30.762485773202258</v>
      </c>
    </row>
    <row r="41" spans="1:13" x14ac:dyDescent="0.35">
      <c r="A41">
        <v>2019</v>
      </c>
      <c r="B41">
        <v>1</v>
      </c>
      <c r="C41" s="7">
        <v>133</v>
      </c>
      <c r="D41" s="20">
        <v>-7.7519379844961239E-3</v>
      </c>
      <c r="E41" s="7">
        <v>5703</v>
      </c>
      <c r="F41" s="7">
        <v>2250</v>
      </c>
      <c r="G41" s="14">
        <v>2.5346666666666668</v>
      </c>
      <c r="H41" s="14">
        <v>11.45</v>
      </c>
      <c r="I41" s="15">
        <v>135</v>
      </c>
      <c r="K41" s="7">
        <v>133</v>
      </c>
      <c r="L41">
        <v>105.30502323799999</v>
      </c>
      <c r="M41" s="6">
        <v>27.69497676200001</v>
      </c>
    </row>
    <row r="42" spans="1:13" x14ac:dyDescent="0.35">
      <c r="B42">
        <v>2</v>
      </c>
      <c r="C42" s="7">
        <v>130</v>
      </c>
      <c r="D42" s="20">
        <v>-2.3255813953488372E-2</v>
      </c>
      <c r="E42" s="7">
        <v>5546</v>
      </c>
      <c r="F42" s="7">
        <v>2325</v>
      </c>
      <c r="G42" s="14">
        <v>2.3853763440860214</v>
      </c>
      <c r="H42" s="14">
        <v>11.614999999999998</v>
      </c>
      <c r="I42" s="15">
        <v>134</v>
      </c>
      <c r="K42" s="7">
        <v>130</v>
      </c>
      <c r="L42">
        <v>105.63903027500001</v>
      </c>
      <c r="M42" s="6">
        <v>24.36096972499999</v>
      </c>
    </row>
    <row r="43" spans="1:13" x14ac:dyDescent="0.35">
      <c r="A43">
        <v>2020</v>
      </c>
      <c r="B43">
        <v>1</v>
      </c>
      <c r="C43" s="7">
        <v>127</v>
      </c>
      <c r="D43" s="20">
        <v>-2.3255813953488372E-2</v>
      </c>
      <c r="E43" s="7">
        <v>5389</v>
      </c>
      <c r="F43" s="7">
        <v>2400</v>
      </c>
      <c r="G43" s="14">
        <v>2.2454166666666668</v>
      </c>
      <c r="H43" s="14">
        <v>11.78</v>
      </c>
      <c r="I43" s="15">
        <v>133</v>
      </c>
      <c r="K43" s="7">
        <v>127</v>
      </c>
      <c r="L43">
        <v>105.92395476874999</v>
      </c>
      <c r="M43" s="6">
        <v>21.076045231250006</v>
      </c>
    </row>
    <row r="44" spans="1:13" x14ac:dyDescent="0.35">
      <c r="B44">
        <v>2</v>
      </c>
      <c r="C44" s="7">
        <v>128.5</v>
      </c>
      <c r="D44" s="20">
        <v>1.1627906976744186E-2</v>
      </c>
      <c r="E44" s="7">
        <v>5467.5</v>
      </c>
      <c r="F44" s="7">
        <v>2362.5</v>
      </c>
      <c r="G44" s="14">
        <v>2.3142857142857145</v>
      </c>
      <c r="H44" s="14">
        <v>11.697499999999998</v>
      </c>
      <c r="I44" s="15">
        <v>130</v>
      </c>
      <c r="K44" s="7">
        <v>128.5</v>
      </c>
      <c r="L44">
        <v>104.32549418178571</v>
      </c>
      <c r="M44" s="6">
        <v>24.174505818214286</v>
      </c>
    </row>
    <row r="45" spans="1:13" x14ac:dyDescent="0.35">
      <c r="A45">
        <v>2021</v>
      </c>
      <c r="B45">
        <v>1</v>
      </c>
      <c r="C45" s="7">
        <v>121.856209150327</v>
      </c>
      <c r="D45" s="20">
        <v>-5.1502254648627878E-2</v>
      </c>
      <c r="E45" s="7">
        <v>6145.8095238095202</v>
      </c>
      <c r="F45" s="7">
        <v>2389.69221835075</v>
      </c>
      <c r="G45" s="14">
        <v>2.5717996136134471</v>
      </c>
      <c r="H45" s="14">
        <v>10.610214866434401</v>
      </c>
      <c r="I45" s="15">
        <v>127</v>
      </c>
      <c r="K45" s="7">
        <v>121.856209150327</v>
      </c>
      <c r="L45">
        <v>101.93957667356194</v>
      </c>
      <c r="M45" s="6">
        <v>19.916632476765059</v>
      </c>
    </row>
    <row r="46" spans="1:13" x14ac:dyDescent="0.35">
      <c r="B46">
        <v>2</v>
      </c>
      <c r="C46" s="7">
        <v>120.452184382525</v>
      </c>
      <c r="D46" s="20">
        <v>-1.088391292869767E-2</v>
      </c>
      <c r="E46" s="7">
        <v>6249.6766334440699</v>
      </c>
      <c r="F46" s="7">
        <v>2423.16904356751</v>
      </c>
      <c r="G46" s="14">
        <v>2.579133573051505</v>
      </c>
      <c r="H46" s="14">
        <v>10.846274140399199</v>
      </c>
      <c r="I46" s="15">
        <v>128.5</v>
      </c>
      <c r="K46" s="7">
        <v>120.452184382525</v>
      </c>
      <c r="L46">
        <v>102.47936677564998</v>
      </c>
      <c r="M46" s="6">
        <v>17.972817606875026</v>
      </c>
    </row>
    <row r="47" spans="1:13" x14ac:dyDescent="0.35">
      <c r="A47">
        <v>2022</v>
      </c>
      <c r="B47">
        <v>1</v>
      </c>
      <c r="C47" s="7">
        <v>129.04815961472301</v>
      </c>
      <c r="D47" s="20">
        <v>6.6635466916263569E-2</v>
      </c>
      <c r="E47" s="7">
        <v>6353.5437430786296</v>
      </c>
      <c r="F47" s="7">
        <v>2456.6458687842701</v>
      </c>
      <c r="G47" s="14">
        <v>2.5862676520905445</v>
      </c>
      <c r="H47" s="14">
        <v>11.082333414363999</v>
      </c>
      <c r="I47" s="15">
        <v>134.21602787456399</v>
      </c>
      <c r="K47" s="7">
        <v>129.04815961472301</v>
      </c>
      <c r="L47">
        <v>104.78111246673518</v>
      </c>
      <c r="M47" s="6">
        <v>24.267047147987824</v>
      </c>
    </row>
    <row r="48" spans="1:13" x14ac:dyDescent="0.35">
      <c r="B48">
        <v>2</v>
      </c>
      <c r="C48" s="7">
        <v>127.64413484692101</v>
      </c>
      <c r="D48" s="20">
        <v>-1.088391292869767E-2</v>
      </c>
      <c r="E48" s="7">
        <v>6457.4108527131802</v>
      </c>
      <c r="F48" s="7">
        <v>2490.1226940010201</v>
      </c>
      <c r="G48" s="14">
        <v>2.5932099122142835</v>
      </c>
      <c r="H48" s="14">
        <v>11.318392688328901</v>
      </c>
      <c r="I48" s="15">
        <v>134.42042784215201</v>
      </c>
      <c r="K48" s="7">
        <v>127.64413484692101</v>
      </c>
      <c r="L48">
        <v>104.78183107789908</v>
      </c>
      <c r="M48" s="6">
        <v>22.862303769021921</v>
      </c>
    </row>
    <row r="49" spans="2:13" x14ac:dyDescent="0.35">
      <c r="B49">
        <v>2023</v>
      </c>
      <c r="C49" s="13">
        <v>134.33809523809501</v>
      </c>
      <c r="D49" s="20">
        <v>0.11114802510151169</v>
      </c>
      <c r="L49" t="s">
        <v>315</v>
      </c>
      <c r="M49" s="6">
        <v>1099.4654832172557</v>
      </c>
    </row>
    <row r="50" spans="2:13" x14ac:dyDescent="0.35">
      <c r="B50">
        <v>2024</v>
      </c>
      <c r="C50" s="13">
        <v>134.74978354978401</v>
      </c>
      <c r="D50" s="20">
        <v>3.1913822611550785E-3</v>
      </c>
      <c r="F50" t="s">
        <v>310</v>
      </c>
      <c r="L50" t="s">
        <v>316</v>
      </c>
      <c r="M50" s="6">
        <v>23.901423548201212</v>
      </c>
    </row>
    <row r="51" spans="2:13" x14ac:dyDescent="0.35">
      <c r="B51">
        <v>2025</v>
      </c>
      <c r="C51" s="13">
        <v>135.16147186147199</v>
      </c>
      <c r="D51" s="20">
        <v>3.1913822611471469E-3</v>
      </c>
      <c r="L51" t="s">
        <v>331</v>
      </c>
      <c r="M51">
        <v>4.8889082163813642</v>
      </c>
    </row>
    <row r="52" spans="2:13" x14ac:dyDescent="0.35">
      <c r="B52">
        <v>2026</v>
      </c>
      <c r="C52" s="13">
        <v>135.57316017316001</v>
      </c>
      <c r="D52" s="20">
        <v>3.1913822611473672E-3</v>
      </c>
      <c r="F52" t="s">
        <v>70</v>
      </c>
      <c r="G52" s="27">
        <v>-5.2603590000000002</v>
      </c>
    </row>
    <row r="53" spans="2:13" x14ac:dyDescent="0.35">
      <c r="B53">
        <v>2027</v>
      </c>
      <c r="C53" s="13">
        <v>135.98484848484799</v>
      </c>
      <c r="D53" s="20">
        <v>3.1913822611471469E-3</v>
      </c>
      <c r="F53" t="s">
        <v>79</v>
      </c>
      <c r="G53" s="27">
        <v>-0.203907</v>
      </c>
    </row>
    <row r="54" spans="2:13" x14ac:dyDescent="0.35">
      <c r="C54" s="7"/>
      <c r="D54" s="16">
        <v>2.2680594312820142E-3</v>
      </c>
      <c r="F54" t="s">
        <v>80</v>
      </c>
      <c r="G54" s="27">
        <v>0.41766900000000001</v>
      </c>
    </row>
    <row r="55" spans="2:13" x14ac:dyDescent="0.35">
      <c r="C55" s="7"/>
      <c r="D55" s="20"/>
    </row>
    <row r="56" spans="2:13" x14ac:dyDescent="0.35">
      <c r="C56" s="7"/>
      <c r="D56" s="20"/>
      <c r="F56" t="s">
        <v>326</v>
      </c>
      <c r="G56" s="27">
        <v>64.587699999999998</v>
      </c>
    </row>
    <row r="57" spans="2:13" x14ac:dyDescent="0.35">
      <c r="C57" s="7"/>
      <c r="D57" s="20"/>
    </row>
    <row r="58" spans="2:13" x14ac:dyDescent="0.35">
      <c r="C58" s="7"/>
      <c r="D58" s="20"/>
    </row>
  </sheetData>
  <mergeCells count="1">
    <mergeCell ref="E1:G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26DC-477E-437C-BAEC-7B74F1525EEC}">
  <dimension ref="A1:C52"/>
  <sheetViews>
    <sheetView workbookViewId="0">
      <selection sqref="A1:A52"/>
    </sheetView>
  </sheetViews>
  <sheetFormatPr defaultRowHeight="14.5" x14ac:dyDescent="0.35"/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 s="11">
        <f>'Persamaan 3'!C3</f>
        <v>129</v>
      </c>
      <c r="C2" s="11">
        <f>'Persamaan 3'!L3</f>
        <v>109.29537832</v>
      </c>
    </row>
    <row r="3" spans="1:3" x14ac:dyDescent="0.35">
      <c r="A3">
        <v>2000</v>
      </c>
      <c r="B3" s="11">
        <f>'Persamaan 3'!C4</f>
        <v>128</v>
      </c>
      <c r="C3" s="11">
        <f>'Persamaan 3'!L4</f>
        <v>108.62631232313953</v>
      </c>
    </row>
    <row r="4" spans="1:3" x14ac:dyDescent="0.35">
      <c r="A4">
        <v>2001</v>
      </c>
      <c r="B4" s="11">
        <f>'Persamaan 3'!C5</f>
        <v>127</v>
      </c>
      <c r="C4" s="11">
        <f>'Persamaan 3'!L5</f>
        <v>107.96825637999999</v>
      </c>
    </row>
    <row r="5" spans="1:3" x14ac:dyDescent="0.35">
      <c r="A5">
        <v>2001</v>
      </c>
      <c r="B5" s="11">
        <f>'Persamaan 3'!C6</f>
        <v>128</v>
      </c>
      <c r="C5" s="11">
        <f>'Persamaan 3'!L6</f>
        <v>107.441627428</v>
      </c>
    </row>
    <row r="6" spans="1:3" x14ac:dyDescent="0.35">
      <c r="A6">
        <v>2002</v>
      </c>
      <c r="B6" s="11">
        <f>'Persamaan 3'!C7</f>
        <v>129</v>
      </c>
      <c r="C6" s="11">
        <f>'Persamaan 3'!L7</f>
        <v>106.91911527869564</v>
      </c>
    </row>
    <row r="7" spans="1:3" x14ac:dyDescent="0.35">
      <c r="A7">
        <v>2002</v>
      </c>
      <c r="B7" s="11">
        <f>'Persamaan 3'!C8</f>
        <v>127.5</v>
      </c>
      <c r="C7" s="11">
        <f>'Persamaan 3'!L8</f>
        <v>106.88278599393617</v>
      </c>
    </row>
    <row r="8" spans="1:3" x14ac:dyDescent="0.35">
      <c r="A8">
        <v>2003</v>
      </c>
      <c r="B8" s="11">
        <f>'Persamaan 3'!C9</f>
        <v>126</v>
      </c>
      <c r="C8" s="11">
        <f>'Persamaan 3'!L9</f>
        <v>106.86592555249999</v>
      </c>
    </row>
    <row r="9" spans="1:3" x14ac:dyDescent="0.35">
      <c r="A9">
        <v>2003</v>
      </c>
      <c r="B9" s="11">
        <f>'Persamaan 3'!C10</f>
        <v>123</v>
      </c>
      <c r="C9" s="11">
        <f>'Persamaan 3'!L10</f>
        <v>105.97486965479592</v>
      </c>
    </row>
    <row r="10" spans="1:3" x14ac:dyDescent="0.35">
      <c r="A10">
        <v>2004</v>
      </c>
      <c r="B10" s="11">
        <f>'Persamaan 3'!C11</f>
        <v>120</v>
      </c>
      <c r="C10" s="11">
        <f>'Persamaan 3'!L11</f>
        <v>105.0938656948</v>
      </c>
    </row>
    <row r="11" spans="1:3" x14ac:dyDescent="0.35">
      <c r="A11">
        <v>2004</v>
      </c>
      <c r="B11" s="11">
        <f>'Persamaan 3'!C12</f>
        <v>123.5</v>
      </c>
      <c r="C11" s="11">
        <f>'Persamaan 3'!L12</f>
        <v>103.93818649088234</v>
      </c>
    </row>
    <row r="12" spans="1:3" x14ac:dyDescent="0.35">
      <c r="A12">
        <v>2005</v>
      </c>
      <c r="B12" s="11">
        <f>'Persamaan 3'!C13</f>
        <v>127</v>
      </c>
      <c r="C12" s="11">
        <f>'Persamaan 3'!L13</f>
        <v>102.77848942</v>
      </c>
    </row>
    <row r="13" spans="1:3" x14ac:dyDescent="0.35">
      <c r="A13">
        <v>2005</v>
      </c>
      <c r="B13" s="11">
        <f>'Persamaan 3'!C14</f>
        <v>126.5</v>
      </c>
      <c r="C13" s="11">
        <f>'Persamaan 3'!L14</f>
        <v>104.32174815745283</v>
      </c>
    </row>
    <row r="14" spans="1:3" x14ac:dyDescent="0.35">
      <c r="A14">
        <v>2006</v>
      </c>
      <c r="B14" s="11">
        <f>'Persamaan 3'!C15</f>
        <v>126</v>
      </c>
      <c r="C14" s="11">
        <f>'Persamaan 3'!L15</f>
        <v>105.86150055444445</v>
      </c>
    </row>
    <row r="15" spans="1:3" x14ac:dyDescent="0.35">
      <c r="A15">
        <v>2006</v>
      </c>
      <c r="B15" s="11">
        <f>'Persamaan 3'!C16</f>
        <v>123</v>
      </c>
      <c r="C15" s="11">
        <f>'Persamaan 3'!L16</f>
        <v>105.32811548036364</v>
      </c>
    </row>
    <row r="16" spans="1:3" x14ac:dyDescent="0.35">
      <c r="A16">
        <v>2007</v>
      </c>
      <c r="B16" s="11">
        <f>'Persamaan 3'!C17</f>
        <v>120</v>
      </c>
      <c r="C16" s="11">
        <f>'Persamaan 3'!L17</f>
        <v>104.80566608285714</v>
      </c>
    </row>
    <row r="17" spans="1:3" x14ac:dyDescent="0.35">
      <c r="A17">
        <v>2007</v>
      </c>
      <c r="B17" s="11">
        <f>'Persamaan 3'!C18</f>
        <v>123.5</v>
      </c>
      <c r="C17" s="11">
        <f>'Persamaan 3'!L18</f>
        <v>103.49871964499999</v>
      </c>
    </row>
    <row r="18" spans="1:3" x14ac:dyDescent="0.35">
      <c r="A18">
        <v>2008</v>
      </c>
      <c r="B18" s="11">
        <f>'Persamaan 3'!C19</f>
        <v>127</v>
      </c>
      <c r="C18" s="11">
        <f>'Persamaan 3'!L19</f>
        <v>102.19338709310344</v>
      </c>
    </row>
    <row r="19" spans="1:3" x14ac:dyDescent="0.35">
      <c r="A19">
        <v>2008</v>
      </c>
      <c r="B19" s="11">
        <f>'Persamaan 3'!C20</f>
        <v>129.5</v>
      </c>
      <c r="C19" s="11">
        <f>'Persamaan 3'!L20</f>
        <v>103.38584395101695</v>
      </c>
    </row>
    <row r="20" spans="1:3" x14ac:dyDescent="0.35">
      <c r="A20">
        <v>2009</v>
      </c>
      <c r="B20" s="11">
        <f>'Persamaan 3'!C21</f>
        <v>132</v>
      </c>
      <c r="C20" s="11">
        <f>'Persamaan 3'!L21</f>
        <v>104.585581072</v>
      </c>
    </row>
    <row r="21" spans="1:3" x14ac:dyDescent="0.35">
      <c r="A21">
        <v>2009</v>
      </c>
      <c r="B21" s="11">
        <f>'Persamaan 3'!C22</f>
        <v>126</v>
      </c>
      <c r="C21" s="11">
        <f>'Persamaan 3'!L22</f>
        <v>105.94570941880951</v>
      </c>
    </row>
    <row r="22" spans="1:3" x14ac:dyDescent="0.35">
      <c r="A22">
        <v>2010</v>
      </c>
      <c r="B22" s="11">
        <f>'Persamaan 3'!C23</f>
        <v>120</v>
      </c>
      <c r="C22" s="11">
        <f>'Persamaan 3'!L23</f>
        <v>107.27535349181818</v>
      </c>
    </row>
    <row r="23" spans="1:3" x14ac:dyDescent="0.35">
      <c r="A23">
        <v>2010</v>
      </c>
      <c r="B23" s="11">
        <f>'Persamaan 3'!C24</f>
        <v>122.5</v>
      </c>
      <c r="C23" s="11">
        <f>'Persamaan 3'!L24</f>
        <v>104.7116027441791</v>
      </c>
    </row>
    <row r="24" spans="1:3" x14ac:dyDescent="0.35">
      <c r="A24">
        <v>2011</v>
      </c>
      <c r="B24" s="11">
        <f>'Persamaan 3'!C25</f>
        <v>125</v>
      </c>
      <c r="C24" s="11">
        <f>'Persamaan 3'!L25</f>
        <v>102.14889043705881</v>
      </c>
    </row>
    <row r="25" spans="1:3" x14ac:dyDescent="0.35">
      <c r="A25">
        <v>2011</v>
      </c>
      <c r="B25" s="11">
        <f>'Persamaan 3'!C26</f>
        <v>130</v>
      </c>
      <c r="C25" s="11">
        <f>'Persamaan 3'!L26</f>
        <v>103.18574758908451</v>
      </c>
    </row>
    <row r="26" spans="1:3" x14ac:dyDescent="0.35">
      <c r="A26">
        <v>2012</v>
      </c>
      <c r="B26" s="11">
        <f>'Persamaan 3'!C27</f>
        <v>135</v>
      </c>
      <c r="C26" s="11">
        <f>'Persamaan 3'!L27</f>
        <v>104.21881663243244</v>
      </c>
    </row>
    <row r="27" spans="1:3" x14ac:dyDescent="0.35">
      <c r="A27">
        <v>2012</v>
      </c>
      <c r="B27" s="11">
        <f>'Persamaan 3'!C28</f>
        <v>151</v>
      </c>
      <c r="C27" s="11">
        <f>'Persamaan 3'!L28</f>
        <v>105.640834353</v>
      </c>
    </row>
    <row r="28" spans="1:3" x14ac:dyDescent="0.35">
      <c r="A28">
        <v>2013</v>
      </c>
      <c r="B28" s="11">
        <f>'Persamaan 3'!C29</f>
        <v>167</v>
      </c>
      <c r="C28" s="11">
        <f>'Persamaan 3'!L29</f>
        <v>107.07875038</v>
      </c>
    </row>
    <row r="29" spans="1:3" x14ac:dyDescent="0.35">
      <c r="A29">
        <v>2013</v>
      </c>
      <c r="B29" s="11">
        <f>'Persamaan 3'!C30</f>
        <v>159</v>
      </c>
      <c r="C29" s="11">
        <f>'Persamaan 3'!L30</f>
        <v>113.41164489883116</v>
      </c>
    </row>
    <row r="30" spans="1:3" x14ac:dyDescent="0.35">
      <c r="A30">
        <v>2014</v>
      </c>
      <c r="B30" s="11">
        <f>'Persamaan 3'!C31</f>
        <v>151</v>
      </c>
      <c r="C30" s="11">
        <f>'Persamaan 3'!L31</f>
        <v>119.75131297</v>
      </c>
    </row>
    <row r="31" spans="1:3" x14ac:dyDescent="0.35">
      <c r="A31">
        <v>2014</v>
      </c>
      <c r="B31" s="11">
        <f>'Persamaan 3'!C32</f>
        <v>137</v>
      </c>
      <c r="C31" s="11">
        <f>'Persamaan 3'!L32</f>
        <v>115.95150940000001</v>
      </c>
    </row>
    <row r="32" spans="1:3" x14ac:dyDescent="0.35">
      <c r="A32">
        <v>2015</v>
      </c>
      <c r="B32" s="11">
        <f>'Persamaan 3'!C33</f>
        <v>123</v>
      </c>
      <c r="C32" s="11">
        <f>'Persamaan 3'!L33</f>
        <v>112.15170583</v>
      </c>
    </row>
    <row r="33" spans="1:3" x14ac:dyDescent="0.35">
      <c r="A33">
        <v>2015</v>
      </c>
      <c r="B33" s="11">
        <f>'Persamaan 3'!C34</f>
        <v>122.5</v>
      </c>
      <c r="C33" s="11">
        <f>'Persamaan 3'!L34</f>
        <v>106.18333714265822</v>
      </c>
    </row>
    <row r="34" spans="1:3" x14ac:dyDescent="0.35">
      <c r="A34">
        <v>2016</v>
      </c>
      <c r="B34" s="11">
        <f>'Persamaan 3'!C35</f>
        <v>122</v>
      </c>
      <c r="C34" s="11">
        <f>'Persamaan 3'!L35</f>
        <v>100.2159544525</v>
      </c>
    </row>
    <row r="35" spans="1:3" x14ac:dyDescent="0.35">
      <c r="A35">
        <v>2016</v>
      </c>
      <c r="B35" s="11">
        <f>'Persamaan 3'!C36</f>
        <v>123.5</v>
      </c>
      <c r="C35" s="11">
        <f>'Persamaan 3'!L36</f>
        <v>99.630636949397598</v>
      </c>
    </row>
    <row r="36" spans="1:3" x14ac:dyDescent="0.35">
      <c r="A36">
        <v>2017</v>
      </c>
      <c r="B36" s="11">
        <f>'Persamaan 3'!C37</f>
        <v>125</v>
      </c>
      <c r="C36" s="11">
        <f>'Persamaan 3'!L37</f>
        <v>99.065183970930235</v>
      </c>
    </row>
    <row r="37" spans="1:3" x14ac:dyDescent="0.35">
      <c r="A37">
        <v>2017</v>
      </c>
      <c r="B37" s="11">
        <f>'Persamaan 3'!C38</f>
        <v>130</v>
      </c>
      <c r="C37" s="11">
        <f>'Persamaan 3'!L38</f>
        <v>100.12226081982757</v>
      </c>
    </row>
    <row r="38" spans="1:3" x14ac:dyDescent="0.35">
      <c r="A38">
        <v>2018</v>
      </c>
      <c r="B38" s="11">
        <f>'Persamaan 3'!C39</f>
        <v>135</v>
      </c>
      <c r="C38" s="11">
        <f>'Persamaan 3'!L39</f>
        <v>101.16767503954546</v>
      </c>
    </row>
    <row r="39" spans="1:3" x14ac:dyDescent="0.35">
      <c r="A39">
        <v>2018</v>
      </c>
      <c r="B39" s="11">
        <f>'Persamaan 3'!C40</f>
        <v>134</v>
      </c>
      <c r="C39" s="11">
        <f>'Persamaan 3'!L40</f>
        <v>103.23751422679774</v>
      </c>
    </row>
    <row r="40" spans="1:3" x14ac:dyDescent="0.35">
      <c r="A40">
        <v>2019</v>
      </c>
      <c r="B40" s="11">
        <f>'Persamaan 3'!C41</f>
        <v>133</v>
      </c>
      <c r="C40" s="11">
        <f>'Persamaan 3'!L41</f>
        <v>105.30502323799999</v>
      </c>
    </row>
    <row r="41" spans="1:3" x14ac:dyDescent="0.35">
      <c r="A41">
        <v>2019</v>
      </c>
      <c r="B41" s="11">
        <f>'Persamaan 3'!C42</f>
        <v>130</v>
      </c>
      <c r="C41" s="11">
        <f>'Persamaan 3'!L42</f>
        <v>105.63903027500001</v>
      </c>
    </row>
    <row r="42" spans="1:3" x14ac:dyDescent="0.35">
      <c r="A42">
        <v>2020</v>
      </c>
      <c r="B42" s="11">
        <f>'Persamaan 3'!C43</f>
        <v>127</v>
      </c>
      <c r="C42" s="11">
        <f>'Persamaan 3'!L43</f>
        <v>105.92395476874999</v>
      </c>
    </row>
    <row r="43" spans="1:3" x14ac:dyDescent="0.35">
      <c r="A43">
        <v>2020</v>
      </c>
      <c r="B43" s="11">
        <f>'Persamaan 3'!C44</f>
        <v>128.5</v>
      </c>
      <c r="C43" s="11">
        <f>'Persamaan 3'!L44</f>
        <v>104.32549418178571</v>
      </c>
    </row>
    <row r="44" spans="1:3" x14ac:dyDescent="0.35">
      <c r="A44">
        <v>2021</v>
      </c>
      <c r="B44" s="11">
        <f>'Persamaan 3'!C45</f>
        <v>121.856209150327</v>
      </c>
      <c r="C44" s="11">
        <f>'Persamaan 3'!L45</f>
        <v>101.93957667356194</v>
      </c>
    </row>
    <row r="45" spans="1:3" x14ac:dyDescent="0.35">
      <c r="A45">
        <v>2021</v>
      </c>
      <c r="B45" s="11">
        <f>'Persamaan 3'!C46</f>
        <v>120.452184382525</v>
      </c>
      <c r="C45" s="11">
        <f>'Persamaan 3'!L46</f>
        <v>102.47936677564998</v>
      </c>
    </row>
    <row r="46" spans="1:3" x14ac:dyDescent="0.35">
      <c r="A46">
        <v>2022</v>
      </c>
      <c r="B46" s="11">
        <f>'Persamaan 3'!C47</f>
        <v>129.04815961472301</v>
      </c>
      <c r="C46" s="11">
        <f>'Persamaan 3'!L47</f>
        <v>104.78111246673518</v>
      </c>
    </row>
    <row r="47" spans="1:3" x14ac:dyDescent="0.35">
      <c r="A47">
        <v>2022</v>
      </c>
      <c r="B47" s="11">
        <f>'Persamaan 3'!C48</f>
        <v>127.64413484692101</v>
      </c>
      <c r="C47" s="11">
        <f>'Persamaan 3'!L48</f>
        <v>104.78183107789908</v>
      </c>
    </row>
    <row r="48" spans="1:3" x14ac:dyDescent="0.35">
      <c r="A48">
        <v>2023</v>
      </c>
      <c r="B48" s="11">
        <f>'Persamaan 3'!C49</f>
        <v>134.33809523809501</v>
      </c>
      <c r="C48" s="11"/>
    </row>
    <row r="49" spans="1:3" x14ac:dyDescent="0.35">
      <c r="A49">
        <v>2024</v>
      </c>
      <c r="B49" s="11">
        <f>'Persamaan 3'!C50</f>
        <v>134.74978354978401</v>
      </c>
      <c r="C49" s="11"/>
    </row>
    <row r="50" spans="1:3" x14ac:dyDescent="0.35">
      <c r="A50">
        <v>2025</v>
      </c>
      <c r="B50" s="11">
        <f>'Persamaan 3'!C51</f>
        <v>135.16147186147199</v>
      </c>
      <c r="C50" s="11"/>
    </row>
    <row r="51" spans="1:3" x14ac:dyDescent="0.35">
      <c r="A51">
        <v>2026</v>
      </c>
      <c r="B51" s="11">
        <f>'Persamaan 3'!C52</f>
        <v>135.57316017316001</v>
      </c>
      <c r="C51" s="11"/>
    </row>
    <row r="52" spans="1:3" x14ac:dyDescent="0.35">
      <c r="A52">
        <v>2027</v>
      </c>
      <c r="B52" s="11">
        <f>'Persamaan 3'!C53</f>
        <v>135.98484848484799</v>
      </c>
      <c r="C52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2041-C747-4104-BADA-A846109AD04C}">
  <dimension ref="A1:K17"/>
  <sheetViews>
    <sheetView topLeftCell="A10" workbookViewId="0">
      <selection activeCell="A11" sqref="A11:F17"/>
    </sheetView>
  </sheetViews>
  <sheetFormatPr defaultRowHeight="14.5" x14ac:dyDescent="0.35"/>
  <cols>
    <col min="1" max="1" width="13.81640625" bestFit="1" customWidth="1"/>
    <col min="2" max="2" width="13.26953125" customWidth="1"/>
    <col min="6" max="6" width="13.81640625" customWidth="1"/>
    <col min="8" max="8" width="12.90625" bestFit="1" customWidth="1"/>
  </cols>
  <sheetData>
    <row r="1" spans="1:11" ht="31.5" thickBot="1" x14ac:dyDescent="0.4">
      <c r="A1" s="70" t="s">
        <v>441</v>
      </c>
      <c r="B1" s="71" t="s">
        <v>442</v>
      </c>
    </row>
    <row r="2" spans="1:11" ht="15.5" x14ac:dyDescent="0.35">
      <c r="A2" t="s">
        <v>70</v>
      </c>
      <c r="B2" s="27">
        <v>-5.2603590000000002</v>
      </c>
      <c r="G2" s="78" t="s">
        <v>130</v>
      </c>
      <c r="H2" s="77" t="s">
        <v>160</v>
      </c>
      <c r="I2" s="72" t="s">
        <v>163</v>
      </c>
      <c r="J2" s="72" t="s">
        <v>465</v>
      </c>
      <c r="K2" s="77"/>
    </row>
    <row r="3" spans="1:11" ht="14.5" customHeight="1" x14ac:dyDescent="0.35">
      <c r="A3" t="s">
        <v>79</v>
      </c>
      <c r="B3" s="27">
        <v>-0.203907</v>
      </c>
      <c r="F3" t="s">
        <v>459</v>
      </c>
      <c r="G3" s="11">
        <f>AVERAGE('Persamaan 3'!C3:C48)</f>
        <v>129.38044973901077</v>
      </c>
      <c r="H3" s="11">
        <f>AVERAGE('Persamaan 3'!G3:G48)</f>
        <v>2.319263938407123</v>
      </c>
      <c r="I3" s="11">
        <f>AVERAGE('Persamaan 3'!H3:H48)</f>
        <v>6.0070590241201423</v>
      </c>
      <c r="J3" s="11">
        <f>AVERAGE('Persamaan 3'!I3:I48)</f>
        <v>130.04644468949382</v>
      </c>
    </row>
    <row r="4" spans="1:11" ht="29" x14ac:dyDescent="0.35">
      <c r="A4" t="s">
        <v>80</v>
      </c>
      <c r="B4" s="27">
        <v>0.41766900000000001</v>
      </c>
      <c r="F4" s="80" t="s">
        <v>460</v>
      </c>
      <c r="H4">
        <f>H3/$G$3</f>
        <v>1.7925922680633709E-2</v>
      </c>
      <c r="I4">
        <f t="shared" ref="I4:J4" si="0">I3/$G$3</f>
        <v>4.6429418325857737E-2</v>
      </c>
      <c r="J4">
        <f t="shared" si="0"/>
        <v>1.0051475702227539</v>
      </c>
    </row>
    <row r="5" spans="1:11" ht="16" thickBot="1" x14ac:dyDescent="0.4">
      <c r="A5" s="74" t="s">
        <v>456</v>
      </c>
      <c r="B5" s="27">
        <v>64.587699999999998</v>
      </c>
      <c r="F5" t="s">
        <v>461</v>
      </c>
      <c r="H5" s="27">
        <f>B2</f>
        <v>-5.2603590000000002</v>
      </c>
      <c r="I5" s="27">
        <f>B3</f>
        <v>-0.203907</v>
      </c>
      <c r="J5" s="27">
        <f>B4</f>
        <v>0.41766900000000001</v>
      </c>
    </row>
    <row r="6" spans="1:11" x14ac:dyDescent="0.35">
      <c r="F6" t="s">
        <v>462</v>
      </c>
      <c r="H6">
        <f>H5*H4</f>
        <v>-9.4296788706375659E-2</v>
      </c>
      <c r="I6">
        <f>I5*I4</f>
        <v>-9.4672834025706729E-3</v>
      </c>
    </row>
    <row r="7" spans="1:11" ht="14.5" customHeight="1" x14ac:dyDescent="0.35">
      <c r="F7" t="s">
        <v>463</v>
      </c>
      <c r="H7">
        <f>H6/(1-$J$5)</f>
        <v>-0.16192987958115859</v>
      </c>
      <c r="I7">
        <f>I6/(1-$J$5)</f>
        <v>-1.6257563829798986E-2</v>
      </c>
    </row>
    <row r="8" spans="1:11" ht="14.5" customHeight="1" x14ac:dyDescent="0.35"/>
    <row r="11" spans="1:11" ht="15.5" customHeight="1" x14ac:dyDescent="0.35">
      <c r="A11" s="114" t="s">
        <v>441</v>
      </c>
      <c r="B11" s="114" t="s">
        <v>442</v>
      </c>
      <c r="C11" s="114" t="s">
        <v>443</v>
      </c>
      <c r="D11" s="113" t="s">
        <v>625</v>
      </c>
      <c r="E11" s="113"/>
      <c r="F11" s="114" t="s">
        <v>444</v>
      </c>
      <c r="G11" s="77"/>
      <c r="H11" s="82"/>
    </row>
    <row r="12" spans="1:11" ht="15.5" x14ac:dyDescent="0.35">
      <c r="A12" s="115"/>
      <c r="B12" s="115"/>
      <c r="C12" s="115"/>
      <c r="D12" s="101" t="s">
        <v>626</v>
      </c>
      <c r="E12" s="101" t="s">
        <v>627</v>
      </c>
      <c r="F12" s="115"/>
      <c r="G12" s="116"/>
      <c r="H12" s="116"/>
    </row>
    <row r="13" spans="1:11" ht="62" customHeight="1" x14ac:dyDescent="0.35">
      <c r="A13" s="67" t="s">
        <v>160</v>
      </c>
      <c r="B13" s="68">
        <v>-5272</v>
      </c>
      <c r="C13" s="67" t="s">
        <v>481</v>
      </c>
      <c r="D13" s="72">
        <v>-9.4296788706375659E-2</v>
      </c>
      <c r="E13" s="72">
        <v>-0.16192987958115859</v>
      </c>
      <c r="F13" s="67" t="s">
        <v>482</v>
      </c>
      <c r="H13" s="90"/>
    </row>
    <row r="14" spans="1:11" ht="31" customHeight="1" x14ac:dyDescent="0.35">
      <c r="A14" s="67" t="s">
        <v>163</v>
      </c>
      <c r="B14" s="67" t="s">
        <v>483</v>
      </c>
      <c r="C14" s="67" t="s">
        <v>484</v>
      </c>
      <c r="D14" s="72">
        <v>-9.4672834025706729E-3</v>
      </c>
      <c r="E14" s="72">
        <v>-1.6257563829798986E-2</v>
      </c>
      <c r="F14" s="67" t="s">
        <v>640</v>
      </c>
      <c r="H14" s="90"/>
    </row>
    <row r="15" spans="1:11" ht="71" customHeight="1" x14ac:dyDescent="0.35">
      <c r="A15" s="67" t="s">
        <v>465</v>
      </c>
      <c r="B15" s="67" t="s">
        <v>485</v>
      </c>
      <c r="C15" s="67" t="s">
        <v>486</v>
      </c>
      <c r="D15" s="72"/>
      <c r="E15" s="72"/>
      <c r="F15" s="67" t="s">
        <v>641</v>
      </c>
      <c r="H15" s="90"/>
    </row>
    <row r="16" spans="1:11" ht="15.5" x14ac:dyDescent="0.35">
      <c r="A16" s="67" t="s">
        <v>456</v>
      </c>
      <c r="B16" s="68">
        <v>65467</v>
      </c>
      <c r="C16" s="67" t="s">
        <v>487</v>
      </c>
      <c r="D16" s="106"/>
      <c r="E16" s="106"/>
      <c r="F16" s="106"/>
      <c r="G16" s="100"/>
      <c r="H16" s="100"/>
    </row>
    <row r="17" spans="1:8" ht="31" customHeight="1" x14ac:dyDescent="0.35">
      <c r="A17" s="112" t="s">
        <v>642</v>
      </c>
      <c r="B17" s="112"/>
      <c r="C17" s="112"/>
      <c r="D17" s="112"/>
      <c r="E17" s="112"/>
      <c r="F17" s="112"/>
      <c r="G17" s="90"/>
      <c r="H17" s="82"/>
    </row>
  </sheetData>
  <mergeCells count="7">
    <mergeCell ref="G12:H12"/>
    <mergeCell ref="D11:E11"/>
    <mergeCell ref="F11:F12"/>
    <mergeCell ref="A17:F17"/>
    <mergeCell ref="A11:A12"/>
    <mergeCell ref="B11:B12"/>
    <mergeCell ref="C11:C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S59"/>
  <sheetViews>
    <sheetView topLeftCell="A38" workbookViewId="0">
      <selection activeCell="I52" sqref="I52:J59"/>
    </sheetView>
  </sheetViews>
  <sheetFormatPr defaultRowHeight="14.5" x14ac:dyDescent="0.35"/>
  <cols>
    <col min="17" max="17" width="12.453125" bestFit="1" customWidth="1"/>
    <col min="18" max="18" width="14.7265625" customWidth="1"/>
  </cols>
  <sheetData>
    <row r="1" spans="2:18" x14ac:dyDescent="0.35">
      <c r="D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219</v>
      </c>
      <c r="L1" t="s">
        <v>151</v>
      </c>
    </row>
    <row r="2" spans="2:18" x14ac:dyDescent="0.35">
      <c r="P2" t="s">
        <v>334</v>
      </c>
      <c r="Q2" t="s">
        <v>335</v>
      </c>
    </row>
    <row r="3" spans="2:18" x14ac:dyDescent="0.35">
      <c r="B3">
        <v>2000</v>
      </c>
      <c r="C3">
        <v>1</v>
      </c>
      <c r="D3" s="6">
        <v>59.86</v>
      </c>
      <c r="E3" s="6"/>
      <c r="F3" s="6"/>
      <c r="G3" s="6">
        <v>69.75</v>
      </c>
      <c r="H3" s="7">
        <v>500</v>
      </c>
      <c r="I3" s="6">
        <v>90.54</v>
      </c>
      <c r="J3" s="7">
        <v>2554</v>
      </c>
      <c r="K3" s="7">
        <v>23514.57</v>
      </c>
      <c r="L3" s="29">
        <v>59.37</v>
      </c>
      <c r="P3" s="6">
        <v>59.86</v>
      </c>
      <c r="Q3">
        <v>12552.515435630001</v>
      </c>
      <c r="R3" s="6">
        <v>-12492.65543563</v>
      </c>
    </row>
    <row r="4" spans="2:18" x14ac:dyDescent="0.35">
      <c r="C4">
        <v>2</v>
      </c>
      <c r="D4" s="6">
        <v>59.81</v>
      </c>
      <c r="E4" s="36">
        <v>-8.3528232542594652E-4</v>
      </c>
      <c r="F4" s="6"/>
      <c r="G4" s="6">
        <v>69.64500000000001</v>
      </c>
      <c r="H4" s="7">
        <v>501</v>
      </c>
      <c r="I4" s="6">
        <v>90.44</v>
      </c>
      <c r="J4" s="7">
        <v>2591</v>
      </c>
      <c r="K4" s="7">
        <v>24030.025000000001</v>
      </c>
      <c r="L4" s="29">
        <v>59.614999999999995</v>
      </c>
      <c r="P4" s="6">
        <v>59.81</v>
      </c>
      <c r="Q4">
        <v>23830.242755930001</v>
      </c>
      <c r="R4" s="6">
        <v>-23770.43275593</v>
      </c>
    </row>
    <row r="5" spans="2:18" x14ac:dyDescent="0.35">
      <c r="B5">
        <v>2001</v>
      </c>
      <c r="C5">
        <v>1</v>
      </c>
      <c r="D5" s="6">
        <v>59.76</v>
      </c>
      <c r="E5" s="36">
        <v>-8.3598060525002941E-4</v>
      </c>
      <c r="F5" s="6"/>
      <c r="G5" s="6">
        <v>69.540000000000006</v>
      </c>
      <c r="H5" s="7">
        <v>502</v>
      </c>
      <c r="I5" s="6">
        <v>90.34</v>
      </c>
      <c r="J5" s="7">
        <v>2628</v>
      </c>
      <c r="K5" s="7">
        <v>24545.48</v>
      </c>
      <c r="L5" s="29">
        <v>59.86</v>
      </c>
      <c r="P5" s="6">
        <v>59.76</v>
      </c>
      <c r="Q5">
        <v>-460823.56050727004</v>
      </c>
      <c r="R5" s="6">
        <v>460883.32050727005</v>
      </c>
    </row>
    <row r="6" spans="2:18" x14ac:dyDescent="0.35">
      <c r="C6">
        <v>2</v>
      </c>
      <c r="D6" s="6">
        <v>58.7</v>
      </c>
      <c r="E6" s="36">
        <v>-1.7737617135207415E-2</v>
      </c>
      <c r="F6" s="6"/>
      <c r="G6" s="6">
        <v>69.64500000000001</v>
      </c>
      <c r="H6" s="7">
        <v>510</v>
      </c>
      <c r="I6" s="6">
        <v>90.56</v>
      </c>
      <c r="J6" s="7">
        <v>2678.5</v>
      </c>
      <c r="K6" s="7">
        <v>24925.05</v>
      </c>
      <c r="L6" s="29">
        <v>59.81</v>
      </c>
      <c r="P6" s="6">
        <v>58.7</v>
      </c>
      <c r="Q6">
        <v>24982.432425570001</v>
      </c>
      <c r="R6" s="6">
        <v>-24923.73242557</v>
      </c>
    </row>
    <row r="7" spans="2:18" x14ac:dyDescent="0.35">
      <c r="B7">
        <v>2002</v>
      </c>
      <c r="C7">
        <v>1</v>
      </c>
      <c r="D7" s="6">
        <v>57.64</v>
      </c>
      <c r="E7" s="36">
        <v>-1.8057921635434449E-2</v>
      </c>
      <c r="F7" s="6"/>
      <c r="G7" s="6">
        <v>69.75</v>
      </c>
      <c r="H7" s="7">
        <v>518</v>
      </c>
      <c r="I7" s="6">
        <v>90.78</v>
      </c>
      <c r="J7" s="7">
        <v>2729</v>
      </c>
      <c r="K7" s="7">
        <v>25304.62</v>
      </c>
      <c r="L7" s="29">
        <v>59.76</v>
      </c>
      <c r="P7" s="6">
        <v>57.64</v>
      </c>
      <c r="Q7">
        <v>210245.64477391</v>
      </c>
      <c r="R7" s="6">
        <v>-210188.00477390998</v>
      </c>
    </row>
    <row r="8" spans="2:18" x14ac:dyDescent="0.35">
      <c r="C8">
        <v>2</v>
      </c>
      <c r="D8" s="6">
        <v>58.695</v>
      </c>
      <c r="E8" s="36">
        <v>1.8303261623872306E-2</v>
      </c>
      <c r="F8" s="6"/>
      <c r="G8" s="6">
        <v>69.694999999999993</v>
      </c>
      <c r="H8" s="7">
        <v>511</v>
      </c>
      <c r="I8" s="6">
        <v>90.715000000000003</v>
      </c>
      <c r="J8" s="7">
        <v>2774</v>
      </c>
      <c r="K8" s="7">
        <v>25790.744999999999</v>
      </c>
      <c r="L8" s="29">
        <v>58.7</v>
      </c>
      <c r="P8" s="6">
        <v>58.695</v>
      </c>
      <c r="Q8">
        <v>12791.012511854997</v>
      </c>
      <c r="R8" s="6">
        <v>-12732.317511854997</v>
      </c>
    </row>
    <row r="9" spans="2:18" x14ac:dyDescent="0.35">
      <c r="B9">
        <v>2003</v>
      </c>
      <c r="C9">
        <v>1</v>
      </c>
      <c r="D9" s="6">
        <v>59.75</v>
      </c>
      <c r="E9" s="36">
        <v>1.7974273788227271E-2</v>
      </c>
      <c r="F9" s="6"/>
      <c r="G9" s="6">
        <v>69.64</v>
      </c>
      <c r="H9" s="7">
        <v>504</v>
      </c>
      <c r="I9" s="6">
        <v>90.65</v>
      </c>
      <c r="J9" s="7">
        <v>2819</v>
      </c>
      <c r="K9" s="7">
        <v>26276.87</v>
      </c>
      <c r="L9" s="29">
        <v>57.64</v>
      </c>
      <c r="P9" s="6">
        <v>59.75</v>
      </c>
      <c r="Q9">
        <v>26266.471566050001</v>
      </c>
      <c r="R9" s="6">
        <v>-26206.721566050001</v>
      </c>
    </row>
    <row r="10" spans="2:18" x14ac:dyDescent="0.35">
      <c r="C10">
        <v>2</v>
      </c>
      <c r="D10" s="6">
        <v>59.25</v>
      </c>
      <c r="E10" s="36">
        <v>-8.368200836820083E-3</v>
      </c>
      <c r="F10" s="6"/>
      <c r="G10" s="6">
        <v>69.81</v>
      </c>
      <c r="H10" s="7">
        <v>515.5</v>
      </c>
      <c r="I10" s="6">
        <v>90.67</v>
      </c>
      <c r="J10" s="7">
        <v>2858</v>
      </c>
      <c r="K10" s="7">
        <v>26572.415000000001</v>
      </c>
      <c r="L10" s="29">
        <v>58.695</v>
      </c>
      <c r="P10" s="6">
        <v>59.25</v>
      </c>
      <c r="Q10">
        <v>31288.679489990001</v>
      </c>
      <c r="R10" s="6">
        <v>-31229.429489990001</v>
      </c>
    </row>
    <row r="11" spans="2:18" x14ac:dyDescent="0.35">
      <c r="B11">
        <v>2004</v>
      </c>
      <c r="C11">
        <v>1</v>
      </c>
      <c r="D11" s="6">
        <v>58.75</v>
      </c>
      <c r="E11" s="36">
        <v>-8.4388185654008432E-3</v>
      </c>
      <c r="F11" s="6"/>
      <c r="G11" s="6">
        <v>69.98</v>
      </c>
      <c r="H11" s="7">
        <v>527</v>
      </c>
      <c r="I11" s="6">
        <v>90.69</v>
      </c>
      <c r="J11" s="7">
        <v>2897</v>
      </c>
      <c r="K11" s="7">
        <v>26867.96</v>
      </c>
      <c r="L11" s="29">
        <v>59.75</v>
      </c>
      <c r="P11" s="6">
        <v>58.75</v>
      </c>
      <c r="Q11">
        <v>26856.49113893</v>
      </c>
      <c r="R11" s="6">
        <v>-26797.74113893</v>
      </c>
    </row>
    <row r="12" spans="2:18" x14ac:dyDescent="0.35">
      <c r="C12">
        <v>2</v>
      </c>
      <c r="D12" s="6">
        <v>59.489999999999995</v>
      </c>
      <c r="E12" s="36">
        <v>1.2595744680850977E-2</v>
      </c>
      <c r="F12" s="6"/>
      <c r="G12" s="6">
        <v>69.81</v>
      </c>
      <c r="H12" s="7">
        <v>537.5</v>
      </c>
      <c r="I12" s="6">
        <v>90.85</v>
      </c>
      <c r="J12" s="7">
        <v>2960.5</v>
      </c>
      <c r="K12" s="7">
        <v>27198.305</v>
      </c>
      <c r="L12" s="29">
        <v>59.25</v>
      </c>
      <c r="P12" s="6">
        <v>59.489999999999995</v>
      </c>
      <c r="Q12">
        <v>27187.435669949999</v>
      </c>
      <c r="R12" s="6">
        <v>-27127.945669949997</v>
      </c>
    </row>
    <row r="13" spans="2:18" x14ac:dyDescent="0.35">
      <c r="B13">
        <v>2005</v>
      </c>
      <c r="C13">
        <v>1</v>
      </c>
      <c r="D13" s="6">
        <v>60.23</v>
      </c>
      <c r="E13" s="36">
        <v>1.2439065389141067E-2</v>
      </c>
      <c r="F13" s="6"/>
      <c r="G13" s="6">
        <v>69.64</v>
      </c>
      <c r="H13" s="7">
        <v>548</v>
      </c>
      <c r="I13" s="6">
        <v>91.01</v>
      </c>
      <c r="J13" s="7">
        <v>3024</v>
      </c>
      <c r="K13" s="7">
        <v>27528.65</v>
      </c>
      <c r="L13" s="29">
        <v>58.75</v>
      </c>
      <c r="P13" s="6">
        <v>60.23</v>
      </c>
      <c r="Q13">
        <v>27518.380200970001</v>
      </c>
      <c r="R13" s="6">
        <v>-27458.150200970002</v>
      </c>
    </row>
    <row r="14" spans="2:18" x14ac:dyDescent="0.35">
      <c r="C14">
        <v>2</v>
      </c>
      <c r="D14" s="6">
        <v>61.489999999999995</v>
      </c>
      <c r="E14" s="36">
        <v>2.0919807404947668E-2</v>
      </c>
      <c r="F14" s="6"/>
      <c r="G14" s="6">
        <v>69.819999999999993</v>
      </c>
      <c r="H14" s="7">
        <v>528.5</v>
      </c>
      <c r="I14" s="6">
        <v>91.22</v>
      </c>
      <c r="J14" s="7">
        <v>3085.5</v>
      </c>
      <c r="K14" s="7">
        <v>28072.355000000003</v>
      </c>
      <c r="L14" s="29">
        <v>59.489999999999995</v>
      </c>
      <c r="P14" s="6">
        <v>61.489999999999995</v>
      </c>
      <c r="Q14">
        <v>28063.218511840005</v>
      </c>
      <c r="R14" s="6">
        <v>-28001.728511840003</v>
      </c>
    </row>
    <row r="15" spans="2:18" x14ac:dyDescent="0.35">
      <c r="B15">
        <v>2006</v>
      </c>
      <c r="C15">
        <v>1</v>
      </c>
      <c r="D15" s="6">
        <v>62.75</v>
      </c>
      <c r="E15" s="36">
        <v>2.0491136770206624E-2</v>
      </c>
      <c r="F15" s="6"/>
      <c r="G15" s="6">
        <v>70</v>
      </c>
      <c r="H15" s="7">
        <v>509</v>
      </c>
      <c r="I15" s="6">
        <v>91.43</v>
      </c>
      <c r="J15" s="7">
        <v>3147</v>
      </c>
      <c r="K15" s="7">
        <v>28616.06</v>
      </c>
      <c r="L15" s="29">
        <v>60.23</v>
      </c>
      <c r="P15" s="6">
        <v>62.75</v>
      </c>
      <c r="Q15">
        <v>28608.056822710001</v>
      </c>
      <c r="R15" s="6">
        <v>-28545.306822710001</v>
      </c>
    </row>
    <row r="16" spans="2:18" x14ac:dyDescent="0.35">
      <c r="C16">
        <v>2</v>
      </c>
      <c r="D16" s="6">
        <v>62.2</v>
      </c>
      <c r="E16" s="36">
        <v>-8.7649402390437801E-3</v>
      </c>
      <c r="F16" s="6"/>
      <c r="G16" s="6">
        <v>70.115000000000009</v>
      </c>
      <c r="H16" s="7">
        <v>502</v>
      </c>
      <c r="I16" s="6">
        <v>91.54</v>
      </c>
      <c r="J16" s="7">
        <v>3196</v>
      </c>
      <c r="K16" s="7">
        <v>29119.654999999999</v>
      </c>
      <c r="L16" s="29">
        <v>61.489999999999995</v>
      </c>
      <c r="P16" s="6">
        <v>62.2</v>
      </c>
      <c r="Q16">
        <v>29111.02989138</v>
      </c>
      <c r="R16" s="6">
        <v>-29048.829891379999</v>
      </c>
    </row>
    <row r="17" spans="2:18" x14ac:dyDescent="0.35">
      <c r="B17">
        <v>2007</v>
      </c>
      <c r="C17">
        <v>1</v>
      </c>
      <c r="D17" s="6">
        <v>61.65</v>
      </c>
      <c r="E17" s="36">
        <v>-8.8424437299036047E-3</v>
      </c>
      <c r="F17" s="6"/>
      <c r="G17" s="6">
        <v>70.23</v>
      </c>
      <c r="H17" s="7">
        <v>495</v>
      </c>
      <c r="I17" s="6">
        <v>91.65</v>
      </c>
      <c r="J17" s="7">
        <v>3245</v>
      </c>
      <c r="K17" s="7">
        <v>29623.25</v>
      </c>
      <c r="L17" s="29">
        <v>62.75</v>
      </c>
      <c r="P17" s="6">
        <v>61.65</v>
      </c>
      <c r="Q17">
        <v>29614.002960049998</v>
      </c>
      <c r="R17" s="6">
        <v>-29552.352960049997</v>
      </c>
    </row>
    <row r="18" spans="2:18" x14ac:dyDescent="0.35">
      <c r="C18">
        <v>2</v>
      </c>
      <c r="D18" s="6">
        <v>61.314999999999998</v>
      </c>
      <c r="E18" s="36">
        <v>-5.4339010543390243E-3</v>
      </c>
      <c r="F18" s="6"/>
      <c r="G18" s="6">
        <v>70.385000000000005</v>
      </c>
      <c r="H18" s="7">
        <v>497.5</v>
      </c>
      <c r="I18" s="6">
        <v>91.797499999999999</v>
      </c>
      <c r="J18" s="7">
        <v>3295</v>
      </c>
      <c r="K18" s="7">
        <v>30176.379999999997</v>
      </c>
      <c r="L18" s="29">
        <v>62.2</v>
      </c>
      <c r="P18" s="6">
        <v>61.314999999999998</v>
      </c>
      <c r="Q18">
        <v>30166.680907607497</v>
      </c>
      <c r="R18" s="6">
        <v>-30105.365907607498</v>
      </c>
    </row>
    <row r="19" spans="2:18" x14ac:dyDescent="0.35">
      <c r="B19">
        <v>2008</v>
      </c>
      <c r="C19">
        <v>1</v>
      </c>
      <c r="D19" s="6">
        <v>60.98</v>
      </c>
      <c r="E19" s="36">
        <v>-5.4635896599527171E-3</v>
      </c>
      <c r="F19" s="6"/>
      <c r="G19" s="6">
        <v>70.540000000000006</v>
      </c>
      <c r="H19" s="7">
        <v>500</v>
      </c>
      <c r="I19" s="6">
        <v>91.944999999999993</v>
      </c>
      <c r="J19" s="7">
        <v>3345</v>
      </c>
      <c r="K19" s="7">
        <v>30729.51</v>
      </c>
      <c r="L19" s="29">
        <v>61.65</v>
      </c>
      <c r="P19" s="6">
        <v>60.98</v>
      </c>
      <c r="Q19">
        <v>30719.358855164999</v>
      </c>
      <c r="R19" s="6">
        <v>-30658.378855165</v>
      </c>
    </row>
    <row r="20" spans="2:18" x14ac:dyDescent="0.35">
      <c r="C20">
        <v>2</v>
      </c>
      <c r="D20" s="6">
        <v>61.914999999999999</v>
      </c>
      <c r="E20" s="36">
        <v>1.5332896031485771E-2</v>
      </c>
      <c r="F20" s="6"/>
      <c r="G20" s="6">
        <v>70.66</v>
      </c>
      <c r="H20" s="7">
        <v>478.5</v>
      </c>
      <c r="I20" s="6">
        <v>91.907499999999999</v>
      </c>
      <c r="J20" s="7">
        <v>3396.5</v>
      </c>
      <c r="K20" s="7">
        <v>31253.85</v>
      </c>
      <c r="L20" s="29">
        <v>61.314999999999998</v>
      </c>
      <c r="P20" s="6">
        <v>61.914999999999999</v>
      </c>
      <c r="Q20">
        <v>31244.699772277498</v>
      </c>
      <c r="R20" s="6">
        <v>-31182.784772277497</v>
      </c>
    </row>
    <row r="21" spans="2:18" x14ac:dyDescent="0.35">
      <c r="B21">
        <v>2009</v>
      </c>
      <c r="C21">
        <v>1</v>
      </c>
      <c r="D21" s="6">
        <v>62.85</v>
      </c>
      <c r="E21" s="36">
        <v>1.5101348623112368E-2</v>
      </c>
      <c r="F21" s="6"/>
      <c r="G21" s="6">
        <v>70.78</v>
      </c>
      <c r="H21" s="7">
        <v>457</v>
      </c>
      <c r="I21" s="6">
        <v>91.87</v>
      </c>
      <c r="J21" s="7">
        <v>3448</v>
      </c>
      <c r="K21" s="7">
        <v>31778.19</v>
      </c>
      <c r="L21" s="29">
        <v>60.98</v>
      </c>
      <c r="P21" s="6">
        <v>62.85</v>
      </c>
      <c r="Q21">
        <v>31770.04068939</v>
      </c>
      <c r="R21" s="6">
        <v>-31707.190689390001</v>
      </c>
    </row>
    <row r="22" spans="2:18" x14ac:dyDescent="0.35">
      <c r="C22">
        <v>2</v>
      </c>
      <c r="D22" s="6">
        <v>60.814999999999998</v>
      </c>
      <c r="E22" s="36">
        <v>-3.2378679395385898E-2</v>
      </c>
      <c r="F22" s="6"/>
      <c r="G22" s="6">
        <v>71.105000000000004</v>
      </c>
      <c r="H22" s="7">
        <v>447.5</v>
      </c>
      <c r="I22" s="6">
        <v>91.965000000000003</v>
      </c>
      <c r="J22" s="7">
        <v>3487</v>
      </c>
      <c r="K22" s="7">
        <v>32269.61</v>
      </c>
      <c r="L22" s="29">
        <v>61.914999999999999</v>
      </c>
      <c r="P22" s="6">
        <v>60.814999999999998</v>
      </c>
      <c r="Q22">
        <v>32259.369553605</v>
      </c>
      <c r="R22" s="6">
        <v>-32198.554553605001</v>
      </c>
    </row>
    <row r="23" spans="2:18" x14ac:dyDescent="0.35">
      <c r="B23">
        <v>2010</v>
      </c>
      <c r="C23">
        <v>1</v>
      </c>
      <c r="D23" s="6">
        <v>58.78</v>
      </c>
      <c r="E23" s="36">
        <v>-3.3462139274849902E-2</v>
      </c>
      <c r="F23" s="6"/>
      <c r="G23" s="6">
        <v>71.430000000000007</v>
      </c>
      <c r="H23" s="7">
        <v>438</v>
      </c>
      <c r="I23" s="6">
        <v>92.06</v>
      </c>
      <c r="J23" s="7">
        <v>3526</v>
      </c>
      <c r="K23" s="7">
        <v>32761.03</v>
      </c>
      <c r="L23" s="29">
        <v>62.85</v>
      </c>
      <c r="P23" s="6">
        <v>58.78</v>
      </c>
      <c r="Q23">
        <v>32748.69841782</v>
      </c>
      <c r="R23" s="6">
        <v>-32689.918417820001</v>
      </c>
    </row>
    <row r="24" spans="2:18" x14ac:dyDescent="0.35">
      <c r="C24">
        <v>2</v>
      </c>
      <c r="D24" s="6">
        <v>59.625</v>
      </c>
      <c r="E24" s="36">
        <v>1.4375637972099333E-2</v>
      </c>
      <c r="F24" s="6"/>
      <c r="G24" s="6">
        <v>71.685000000000002</v>
      </c>
      <c r="H24" s="7">
        <v>456</v>
      </c>
      <c r="I24" s="6">
        <v>92.295000000000002</v>
      </c>
      <c r="J24" s="7">
        <v>3584.5</v>
      </c>
      <c r="K24" s="7">
        <v>33302.535000000003</v>
      </c>
      <c r="L24" s="29">
        <v>60.814999999999998</v>
      </c>
      <c r="P24" s="6">
        <v>59.625</v>
      </c>
      <c r="Q24">
        <v>33290.837636115</v>
      </c>
      <c r="R24" s="6">
        <v>-33231.212636115</v>
      </c>
    </row>
    <row r="25" spans="2:18" x14ac:dyDescent="0.35">
      <c r="B25">
        <v>2011</v>
      </c>
      <c r="C25">
        <v>1</v>
      </c>
      <c r="D25" s="6">
        <v>60.47</v>
      </c>
      <c r="E25" s="36">
        <v>1.4171907756813398E-2</v>
      </c>
      <c r="F25" s="6"/>
      <c r="G25" s="6">
        <v>71.94</v>
      </c>
      <c r="H25" s="7">
        <v>474</v>
      </c>
      <c r="I25" s="6">
        <v>92.53</v>
      </c>
      <c r="J25" s="7">
        <v>3643</v>
      </c>
      <c r="K25" s="7">
        <v>33844.04</v>
      </c>
      <c r="L25" s="29">
        <v>58.78</v>
      </c>
      <c r="P25" s="6">
        <v>60.47</v>
      </c>
      <c r="Q25">
        <v>33832.976854410001</v>
      </c>
      <c r="R25" s="6">
        <v>-33772.50685441</v>
      </c>
    </row>
    <row r="26" spans="2:18" x14ac:dyDescent="0.35">
      <c r="C26">
        <v>2</v>
      </c>
      <c r="D26" s="6">
        <v>62.62</v>
      </c>
      <c r="E26" s="36">
        <v>3.555482057218453E-2</v>
      </c>
      <c r="F26" s="6"/>
      <c r="G26" s="6">
        <v>71.954999999999998</v>
      </c>
      <c r="H26" s="7">
        <v>474</v>
      </c>
      <c r="I26" s="6">
        <v>93.045000000000002</v>
      </c>
      <c r="J26" s="7">
        <v>3668.5</v>
      </c>
      <c r="K26" s="7">
        <v>33893.404999999999</v>
      </c>
      <c r="L26" s="29">
        <v>59.625</v>
      </c>
      <c r="P26" s="6">
        <v>62.62</v>
      </c>
      <c r="Q26">
        <v>33884.098289864996</v>
      </c>
      <c r="R26" s="6">
        <v>-33821.478289864994</v>
      </c>
    </row>
    <row r="27" spans="2:18" x14ac:dyDescent="0.35">
      <c r="B27">
        <v>2012</v>
      </c>
      <c r="C27">
        <v>1</v>
      </c>
      <c r="D27" s="6">
        <v>64.77</v>
      </c>
      <c r="E27" s="36">
        <v>3.4334078569147219E-2</v>
      </c>
      <c r="F27" s="6"/>
      <c r="G27" s="6">
        <v>71.97</v>
      </c>
      <c r="H27" s="7">
        <v>474</v>
      </c>
      <c r="I27" s="6">
        <v>93.56</v>
      </c>
      <c r="J27" s="7">
        <v>3694</v>
      </c>
      <c r="K27" s="7">
        <v>33942.769999999997</v>
      </c>
      <c r="L27" s="29">
        <v>60.47</v>
      </c>
      <c r="P27" s="6">
        <v>64.77</v>
      </c>
      <c r="Q27">
        <v>33935.219725319999</v>
      </c>
      <c r="R27" s="6">
        <v>-33870.449725320002</v>
      </c>
    </row>
    <row r="28" spans="2:18" x14ac:dyDescent="0.35">
      <c r="C28">
        <v>2</v>
      </c>
      <c r="D28" s="6">
        <v>62.22</v>
      </c>
      <c r="E28" s="36">
        <v>-3.9370078740157438E-2</v>
      </c>
      <c r="F28" s="6"/>
      <c r="G28" s="6">
        <v>72.17</v>
      </c>
      <c r="H28" s="7">
        <v>463</v>
      </c>
      <c r="I28" s="6">
        <v>93.73</v>
      </c>
      <c r="J28" s="7">
        <v>3658.5</v>
      </c>
      <c r="K28" s="7">
        <v>33663.214999999997</v>
      </c>
      <c r="L28" s="29">
        <v>62.62</v>
      </c>
      <c r="P28" s="6">
        <v>62.22</v>
      </c>
      <c r="Q28">
        <v>33653.003873809997</v>
      </c>
      <c r="R28" s="6">
        <v>-33590.783873809996</v>
      </c>
    </row>
    <row r="29" spans="2:18" x14ac:dyDescent="0.35">
      <c r="B29">
        <v>2013</v>
      </c>
      <c r="C29">
        <v>1</v>
      </c>
      <c r="D29" s="6">
        <v>59.67</v>
      </c>
      <c r="E29" s="36">
        <v>-4.0983606557377004E-2</v>
      </c>
      <c r="F29" s="6"/>
      <c r="G29" s="6">
        <v>72.37</v>
      </c>
      <c r="H29" s="7">
        <v>452</v>
      </c>
      <c r="I29" s="6">
        <v>93.9</v>
      </c>
      <c r="J29" s="7">
        <v>3623</v>
      </c>
      <c r="K29" s="7">
        <v>33383.660000000003</v>
      </c>
      <c r="L29" s="29">
        <v>64.77</v>
      </c>
      <c r="P29" s="6">
        <v>59.67</v>
      </c>
      <c r="Q29">
        <v>33370.788022300003</v>
      </c>
      <c r="R29" s="6">
        <v>-33311.118022300005</v>
      </c>
    </row>
    <row r="30" spans="2:18" x14ac:dyDescent="0.35">
      <c r="C30">
        <v>2</v>
      </c>
      <c r="D30" s="6">
        <v>57.46</v>
      </c>
      <c r="E30" s="36">
        <v>-3.7037037037037049E-2</v>
      </c>
      <c r="F30" s="6"/>
      <c r="G30" s="6">
        <v>73.37</v>
      </c>
      <c r="H30" s="7">
        <v>495</v>
      </c>
      <c r="I30" s="6">
        <v>93.974999999999994</v>
      </c>
      <c r="J30" s="7">
        <v>3557</v>
      </c>
      <c r="K30" s="7">
        <v>35052.845000000001</v>
      </c>
      <c r="L30" s="29">
        <v>62.22</v>
      </c>
      <c r="P30" s="6">
        <v>57.46</v>
      </c>
      <c r="Q30">
        <v>35037.631188075</v>
      </c>
      <c r="R30" s="6">
        <v>-34980.171188075001</v>
      </c>
    </row>
    <row r="31" spans="2:18" x14ac:dyDescent="0.35">
      <c r="B31">
        <v>2014</v>
      </c>
      <c r="C31">
        <v>1</v>
      </c>
      <c r="D31" s="6">
        <v>55.25</v>
      </c>
      <c r="E31" s="36">
        <v>-3.8461538461538478E-2</v>
      </c>
      <c r="F31" s="6"/>
      <c r="G31" s="6">
        <v>74.37</v>
      </c>
      <c r="H31" s="7">
        <v>538</v>
      </c>
      <c r="I31" s="6">
        <v>94.05</v>
      </c>
      <c r="J31" s="7">
        <v>3491</v>
      </c>
      <c r="K31" s="7">
        <v>36722.03</v>
      </c>
      <c r="L31" s="29">
        <v>59.67</v>
      </c>
      <c r="P31" s="6">
        <v>55.25</v>
      </c>
      <c r="Q31">
        <v>36704.474353849997</v>
      </c>
      <c r="R31" s="6">
        <v>-36649.224353849997</v>
      </c>
    </row>
    <row r="32" spans="2:18" x14ac:dyDescent="0.35">
      <c r="C32">
        <v>2</v>
      </c>
      <c r="D32" s="6">
        <v>58.44</v>
      </c>
      <c r="E32" s="36">
        <v>5.773755656108593E-2</v>
      </c>
      <c r="F32" s="6"/>
      <c r="G32" s="6">
        <v>75.819999999999993</v>
      </c>
      <c r="H32" s="7">
        <v>544.5</v>
      </c>
      <c r="I32" s="6">
        <v>93.83</v>
      </c>
      <c r="J32" s="7">
        <v>3411</v>
      </c>
      <c r="K32" s="7">
        <v>37089.25</v>
      </c>
      <c r="L32" s="29">
        <v>57.46</v>
      </c>
      <c r="P32" s="6">
        <v>58.44</v>
      </c>
      <c r="Q32">
        <v>37075.041214010002</v>
      </c>
      <c r="R32" s="6">
        <v>-37016.601214009999</v>
      </c>
    </row>
    <row r="33" spans="2:18" x14ac:dyDescent="0.35">
      <c r="B33">
        <v>2015</v>
      </c>
      <c r="C33">
        <v>1</v>
      </c>
      <c r="D33" s="6">
        <v>61.63</v>
      </c>
      <c r="E33" s="36">
        <v>5.4585900068446352E-2</v>
      </c>
      <c r="F33" s="6"/>
      <c r="G33" s="6">
        <v>77.27</v>
      </c>
      <c r="H33" s="7">
        <v>551</v>
      </c>
      <c r="I33" s="6">
        <v>93.61</v>
      </c>
      <c r="J33" s="7">
        <v>3331</v>
      </c>
      <c r="K33" s="7">
        <v>37456.47</v>
      </c>
      <c r="L33" s="29">
        <v>55.25</v>
      </c>
      <c r="P33" s="6">
        <v>61.63</v>
      </c>
      <c r="Q33">
        <v>37445.608074169999</v>
      </c>
      <c r="R33" s="6">
        <v>-37383.978074170001</v>
      </c>
    </row>
    <row r="34" spans="2:18" x14ac:dyDescent="0.35">
      <c r="C34">
        <v>2</v>
      </c>
      <c r="D34" s="6">
        <v>60.269999999999996</v>
      </c>
      <c r="E34" s="36">
        <v>-2.206717507707296E-2</v>
      </c>
      <c r="F34" s="6"/>
      <c r="G34" s="6">
        <v>77.28</v>
      </c>
      <c r="H34" s="7">
        <v>545</v>
      </c>
      <c r="I34" s="6">
        <v>93.555000000000007</v>
      </c>
      <c r="J34" s="7">
        <v>3446.5</v>
      </c>
      <c r="K34" s="7">
        <v>37860.33</v>
      </c>
      <c r="L34" s="29">
        <v>58.44</v>
      </c>
      <c r="P34" s="6">
        <v>60.269999999999996</v>
      </c>
      <c r="Q34">
        <v>37848.160503334999</v>
      </c>
      <c r="R34" s="6">
        <v>-37787.890503335002</v>
      </c>
    </row>
    <row r="35" spans="2:18" x14ac:dyDescent="0.35">
      <c r="B35">
        <v>2016</v>
      </c>
      <c r="C35">
        <v>1</v>
      </c>
      <c r="D35" s="6">
        <v>58.91</v>
      </c>
      <c r="E35" s="36">
        <v>-2.256512361041977E-2</v>
      </c>
      <c r="F35" s="6"/>
      <c r="G35" s="6">
        <v>77.290000000000006</v>
      </c>
      <c r="H35" s="7">
        <v>539</v>
      </c>
      <c r="I35" s="6">
        <v>93.5</v>
      </c>
      <c r="J35" s="7">
        <v>3562</v>
      </c>
      <c r="K35" s="7">
        <v>38264.19</v>
      </c>
      <c r="L35" s="29">
        <v>61.63</v>
      </c>
      <c r="P35" s="6">
        <v>58.91</v>
      </c>
      <c r="Q35">
        <v>38250.712932499999</v>
      </c>
      <c r="R35" s="6">
        <v>-38191.802932499995</v>
      </c>
    </row>
    <row r="36" spans="2:18" x14ac:dyDescent="0.35">
      <c r="C36">
        <v>2</v>
      </c>
      <c r="D36" s="6">
        <v>63.059999999999995</v>
      </c>
      <c r="E36" s="36">
        <v>7.0446443727720229E-2</v>
      </c>
      <c r="F36" s="6"/>
      <c r="G36" s="6">
        <v>77.355000000000004</v>
      </c>
      <c r="H36" s="7">
        <v>536.5</v>
      </c>
      <c r="I36" s="6">
        <v>93.545000000000002</v>
      </c>
      <c r="J36" s="7">
        <v>3699.5</v>
      </c>
      <c r="K36" s="7">
        <v>38073.449999999997</v>
      </c>
      <c r="L36" s="29">
        <v>60.269999999999996</v>
      </c>
      <c r="P36" s="6">
        <v>63.059999999999995</v>
      </c>
      <c r="Q36">
        <v>38064.092875864997</v>
      </c>
      <c r="R36" s="6">
        <v>-38001.032875864999</v>
      </c>
    </row>
    <row r="37" spans="2:18" x14ac:dyDescent="0.35">
      <c r="B37">
        <v>2017</v>
      </c>
      <c r="C37">
        <v>1</v>
      </c>
      <c r="D37" s="6">
        <v>67.209999999999994</v>
      </c>
      <c r="E37" s="36">
        <v>6.5810339359340289E-2</v>
      </c>
      <c r="F37" s="6"/>
      <c r="G37" s="6">
        <v>77.42</v>
      </c>
      <c r="H37" s="7">
        <v>534</v>
      </c>
      <c r="I37" s="6">
        <v>93.59</v>
      </c>
      <c r="J37" s="7">
        <v>3837</v>
      </c>
      <c r="K37" s="7">
        <v>37882.71</v>
      </c>
      <c r="L37" s="29">
        <v>58.91</v>
      </c>
      <c r="P37" s="6">
        <v>67.209999999999994</v>
      </c>
      <c r="Q37">
        <v>37877.472819230003</v>
      </c>
      <c r="R37" s="6">
        <v>-37810.262819230004</v>
      </c>
    </row>
    <row r="38" spans="2:18" x14ac:dyDescent="0.35">
      <c r="C38">
        <v>2</v>
      </c>
      <c r="D38" s="6">
        <v>68.509999999999991</v>
      </c>
      <c r="E38" s="36">
        <v>1.9342359767891643E-2</v>
      </c>
      <c r="F38" s="6"/>
      <c r="G38" s="6">
        <v>77.414999999999992</v>
      </c>
      <c r="H38" s="7">
        <v>524.5</v>
      </c>
      <c r="I38" s="6">
        <v>93.990000000000009</v>
      </c>
      <c r="J38" s="7">
        <v>3865</v>
      </c>
      <c r="K38" s="7">
        <v>37753.399999999994</v>
      </c>
      <c r="L38" s="29">
        <v>63.059999999999995</v>
      </c>
      <c r="P38" s="6">
        <v>68.509999999999991</v>
      </c>
      <c r="Q38">
        <v>37749.173601529998</v>
      </c>
      <c r="R38" s="6">
        <v>-37680.663601529996</v>
      </c>
    </row>
    <row r="39" spans="2:18" x14ac:dyDescent="0.35">
      <c r="B39">
        <v>2018</v>
      </c>
      <c r="C39">
        <v>1</v>
      </c>
      <c r="D39" s="6">
        <v>69.81</v>
      </c>
      <c r="E39" s="36">
        <v>1.8975332068311365E-2</v>
      </c>
      <c r="F39" s="6"/>
      <c r="G39" s="6">
        <v>77.41</v>
      </c>
      <c r="H39" s="7">
        <v>515</v>
      </c>
      <c r="I39" s="6">
        <v>94.39</v>
      </c>
      <c r="J39" s="7">
        <v>3893</v>
      </c>
      <c r="K39" s="7">
        <v>37624.089999999997</v>
      </c>
      <c r="L39" s="29">
        <v>67.209999999999994</v>
      </c>
      <c r="P39" s="6">
        <v>69.81</v>
      </c>
      <c r="Q39">
        <v>37620.87438383</v>
      </c>
      <c r="R39" s="6">
        <v>-37551.064383830002</v>
      </c>
    </row>
    <row r="40" spans="2:18" x14ac:dyDescent="0.35">
      <c r="C40">
        <v>2</v>
      </c>
      <c r="D40" s="6">
        <v>75.625</v>
      </c>
      <c r="E40" s="36">
        <v>8.3297521845007841E-2</v>
      </c>
      <c r="F40" s="6"/>
      <c r="G40" s="6">
        <v>77.539999999999992</v>
      </c>
      <c r="H40" s="7">
        <v>513</v>
      </c>
      <c r="I40" s="6">
        <v>94.41</v>
      </c>
      <c r="J40" s="7">
        <v>4014</v>
      </c>
      <c r="K40" s="7">
        <v>33814.869999999995</v>
      </c>
      <c r="L40" s="29">
        <v>68.509999999999991</v>
      </c>
      <c r="P40" s="6">
        <v>75.625</v>
      </c>
      <c r="Q40">
        <v>33817.457565769997</v>
      </c>
      <c r="R40" s="6">
        <v>-33741.832565769997</v>
      </c>
    </row>
    <row r="41" spans="2:18" x14ac:dyDescent="0.35">
      <c r="B41">
        <v>2019</v>
      </c>
      <c r="C41">
        <v>1</v>
      </c>
      <c r="D41" s="6">
        <v>81.44</v>
      </c>
      <c r="E41" s="36">
        <v>7.6892561983471039E-2</v>
      </c>
      <c r="F41" s="6"/>
      <c r="G41" s="6">
        <v>77.67</v>
      </c>
      <c r="H41" s="7">
        <v>511</v>
      </c>
      <c r="I41" s="6">
        <v>94.43</v>
      </c>
      <c r="J41" s="7">
        <v>4135</v>
      </c>
      <c r="K41" s="7">
        <v>30005.65</v>
      </c>
      <c r="L41" s="29">
        <v>69.81</v>
      </c>
      <c r="P41" s="6">
        <v>81.44</v>
      </c>
      <c r="Q41">
        <v>30014.040747710002</v>
      </c>
      <c r="R41" s="6">
        <v>-29932.600747710003</v>
      </c>
    </row>
    <row r="42" spans="2:18" x14ac:dyDescent="0.35">
      <c r="C42">
        <v>2</v>
      </c>
      <c r="D42" s="6">
        <v>76.64</v>
      </c>
      <c r="E42" s="36">
        <v>-5.8939096267190537E-2</v>
      </c>
      <c r="F42" s="6"/>
      <c r="G42" s="6">
        <v>77.94</v>
      </c>
      <c r="H42" s="7">
        <v>502.5</v>
      </c>
      <c r="I42" s="6">
        <v>94.855000000000004</v>
      </c>
      <c r="J42" s="7">
        <v>4002</v>
      </c>
      <c r="K42" s="7">
        <v>30005.65</v>
      </c>
      <c r="L42" s="29">
        <v>75.625</v>
      </c>
      <c r="P42" s="6">
        <v>76.64</v>
      </c>
      <c r="Q42">
        <v>30008.930691935002</v>
      </c>
      <c r="R42" s="6">
        <v>-29932.290691935003</v>
      </c>
    </row>
    <row r="43" spans="2:18" x14ac:dyDescent="0.35">
      <c r="B43">
        <v>2020</v>
      </c>
      <c r="C43">
        <v>1</v>
      </c>
      <c r="D43" s="6">
        <v>71.84</v>
      </c>
      <c r="E43" s="36">
        <v>-6.2630480167014571E-2</v>
      </c>
      <c r="F43" s="6"/>
      <c r="G43" s="6">
        <v>78.209999999999994</v>
      </c>
      <c r="H43" s="7">
        <v>494</v>
      </c>
      <c r="I43" s="6">
        <v>95.28</v>
      </c>
      <c r="J43" s="7">
        <v>3869</v>
      </c>
      <c r="K43" s="7">
        <v>30005.65</v>
      </c>
      <c r="L43" s="29">
        <v>81.44</v>
      </c>
      <c r="P43" s="6">
        <v>71.84</v>
      </c>
      <c r="Q43">
        <v>30003.820636160002</v>
      </c>
      <c r="R43" s="6">
        <v>-29931.980636160002</v>
      </c>
    </row>
    <row r="44" spans="2:18" x14ac:dyDescent="0.35">
      <c r="C44">
        <v>2</v>
      </c>
      <c r="D44" s="6">
        <v>74.240000000000009</v>
      </c>
      <c r="E44" s="36">
        <v>3.3407572383073576E-2</v>
      </c>
      <c r="F44" s="6"/>
      <c r="G44" s="6">
        <v>78.074999999999989</v>
      </c>
      <c r="H44" s="7">
        <v>498.25</v>
      </c>
      <c r="I44" s="6">
        <v>95.067499999999995</v>
      </c>
      <c r="J44" s="7">
        <v>3935.5</v>
      </c>
      <c r="K44" s="7">
        <v>30005.65</v>
      </c>
      <c r="L44" s="29">
        <v>78.532499999999999</v>
      </c>
      <c r="P44" s="6">
        <v>74.240000000000009</v>
      </c>
      <c r="Q44">
        <v>30006.3756640475</v>
      </c>
      <c r="R44" s="6">
        <v>-29932.135664047499</v>
      </c>
    </row>
    <row r="45" spans="2:18" x14ac:dyDescent="0.35">
      <c r="B45">
        <v>2021</v>
      </c>
      <c r="C45">
        <v>1</v>
      </c>
      <c r="D45" s="6">
        <v>69.328455284552902</v>
      </c>
      <c r="E45" s="36">
        <v>-6.6157660499018139E-2</v>
      </c>
      <c r="F45" s="6"/>
      <c r="G45" s="6">
        <v>78.240325203251999</v>
      </c>
      <c r="H45" s="7">
        <v>507.07839721254402</v>
      </c>
      <c r="I45" s="6">
        <v>95.104907084785097</v>
      </c>
      <c r="J45" s="7">
        <v>4090.5203252032502</v>
      </c>
      <c r="K45" s="7">
        <v>37479.733391405302</v>
      </c>
      <c r="L45" s="29">
        <v>67.742468060394899</v>
      </c>
      <c r="P45" s="6">
        <v>69.328455284552902</v>
      </c>
      <c r="Q45">
        <v>37475.503624518569</v>
      </c>
      <c r="R45" s="6">
        <v>-37406.175169234019</v>
      </c>
    </row>
    <row r="46" spans="2:18" x14ac:dyDescent="0.35">
      <c r="C46">
        <v>2</v>
      </c>
      <c r="D46" s="6">
        <v>69.6334443454069</v>
      </c>
      <c r="E46" s="36">
        <v>4.3991901968996119E-3</v>
      </c>
      <c r="F46" s="6"/>
      <c r="G46" s="6">
        <v>78.492372444156302</v>
      </c>
      <c r="H46" s="7">
        <v>507.22905356130002</v>
      </c>
      <c r="I46" s="6">
        <v>95.225215609215894</v>
      </c>
      <c r="J46" s="7">
        <v>4123.9620236069404</v>
      </c>
      <c r="K46" s="7">
        <v>37764.947524781797</v>
      </c>
      <c r="L46" s="29">
        <v>68.001600018907197</v>
      </c>
      <c r="P46" s="6">
        <v>69.6334443454069</v>
      </c>
      <c r="Q46">
        <v>37760.930545733172</v>
      </c>
      <c r="R46" s="6">
        <v>-37691.297101387769</v>
      </c>
    </row>
    <row r="47" spans="2:18" x14ac:dyDescent="0.35">
      <c r="B47">
        <v>2022</v>
      </c>
      <c r="C47">
        <v>1</v>
      </c>
      <c r="D47" s="6">
        <v>69.938433406260998</v>
      </c>
      <c r="E47" s="36">
        <v>4.3799220865945159E-3</v>
      </c>
      <c r="F47" s="6"/>
      <c r="G47" s="6">
        <v>78.744419685060606</v>
      </c>
      <c r="H47" s="7">
        <v>507.37970991005602</v>
      </c>
      <c r="I47" s="6">
        <v>95.345524133646606</v>
      </c>
      <c r="J47" s="7">
        <v>4157.4037220106402</v>
      </c>
      <c r="K47" s="7">
        <v>38050.161658158402</v>
      </c>
      <c r="L47" s="29">
        <v>68.260731977419397</v>
      </c>
      <c r="P47" s="6">
        <v>69.938433406260998</v>
      </c>
      <c r="Q47">
        <v>38046.357466947884</v>
      </c>
      <c r="R47" s="6">
        <v>-37976.419033541621</v>
      </c>
    </row>
    <row r="48" spans="2:18" x14ac:dyDescent="0.35">
      <c r="C48">
        <v>2</v>
      </c>
      <c r="D48" s="6">
        <v>70.243422467115096</v>
      </c>
      <c r="E48" s="36">
        <v>4.3608220258876231E-3</v>
      </c>
      <c r="F48" s="6"/>
      <c r="G48" s="6">
        <v>78.996466925964896</v>
      </c>
      <c r="H48" s="7">
        <v>507.53036625881202</v>
      </c>
      <c r="I48" s="6">
        <v>95.465832658077403</v>
      </c>
      <c r="J48" s="7">
        <v>4190.84542041433</v>
      </c>
      <c r="K48" s="7">
        <v>38335.375791534898</v>
      </c>
      <c r="L48" s="29">
        <v>68.519863935931696</v>
      </c>
      <c r="P48" s="6">
        <v>70.243422467115096</v>
      </c>
      <c r="Q48">
        <v>38331.784388162487</v>
      </c>
      <c r="R48" s="6">
        <v>-38261.540965695371</v>
      </c>
    </row>
    <row r="49" spans="2:19" x14ac:dyDescent="0.35">
      <c r="B49" s="38">
        <v>2023</v>
      </c>
      <c r="C49" s="38"/>
      <c r="D49">
        <v>70.548411527969094</v>
      </c>
      <c r="E49" s="36">
        <v>4.3418878258214251E-3</v>
      </c>
      <c r="F49" s="6"/>
      <c r="G49" s="6"/>
      <c r="H49" s="7"/>
      <c r="I49" s="6"/>
      <c r="J49" s="7"/>
      <c r="K49" s="7"/>
      <c r="P49" s="6"/>
      <c r="R49" s="6"/>
    </row>
    <row r="50" spans="2:19" x14ac:dyDescent="0.35">
      <c r="B50" s="38">
        <v>2024</v>
      </c>
      <c r="C50" s="38"/>
      <c r="D50">
        <v>70.853400588823206</v>
      </c>
      <c r="E50" s="36">
        <v>4.3231173352953275E-3</v>
      </c>
      <c r="R50" s="6">
        <v>-1145190.7357670562</v>
      </c>
    </row>
    <row r="51" spans="2:19" x14ac:dyDescent="0.35">
      <c r="B51" s="38">
        <v>2025</v>
      </c>
      <c r="C51" s="38"/>
      <c r="D51">
        <v>71.158389649677304</v>
      </c>
      <c r="E51" s="36">
        <v>4.3045084402372116E-3</v>
      </c>
      <c r="R51" s="6">
        <v>-12654.010563969521</v>
      </c>
      <c r="S51">
        <v>12654.010563969521</v>
      </c>
    </row>
    <row r="52" spans="2:19" x14ac:dyDescent="0.35">
      <c r="B52" s="38">
        <v>2026</v>
      </c>
      <c r="C52" s="38"/>
      <c r="D52">
        <v>71.463378710531302</v>
      </c>
      <c r="E52" s="36">
        <v>4.2860590628245243E-3</v>
      </c>
      <c r="I52" t="s">
        <v>146</v>
      </c>
      <c r="J52">
        <v>0.959287</v>
      </c>
      <c r="R52">
        <v>112.49004651065587</v>
      </c>
    </row>
    <row r="53" spans="2:19" x14ac:dyDescent="0.35">
      <c r="B53" s="38">
        <v>2027</v>
      </c>
      <c r="C53" s="38"/>
      <c r="D53">
        <v>71.7683677713854</v>
      </c>
      <c r="E53" s="36">
        <v>4.2677671607087419E-3</v>
      </c>
      <c r="I53" t="s">
        <v>147</v>
      </c>
      <c r="J53">
        <v>-1.7329999999999999E-3</v>
      </c>
    </row>
    <row r="54" spans="2:19" x14ac:dyDescent="0.35">
      <c r="E54" s="16">
        <v>4.198430604137323E-3</v>
      </c>
      <c r="I54" t="s">
        <v>148</v>
      </c>
      <c r="J54">
        <v>-0.76420299999999997</v>
      </c>
    </row>
    <row r="55" spans="2:19" x14ac:dyDescent="0.35">
      <c r="I55" t="s">
        <v>149</v>
      </c>
      <c r="J55">
        <v>1.4323000000000001E-2</v>
      </c>
    </row>
    <row r="56" spans="2:19" x14ac:dyDescent="0.35">
      <c r="I56" t="s">
        <v>219</v>
      </c>
      <c r="J56">
        <v>-1.2650000000000001E-3</v>
      </c>
    </row>
    <row r="57" spans="2:19" x14ac:dyDescent="0.35">
      <c r="I57" t="s">
        <v>151</v>
      </c>
      <c r="J57">
        <v>-186.21100000000001</v>
      </c>
    </row>
    <row r="59" spans="2:19" x14ac:dyDescent="0.35">
      <c r="I59" t="s">
        <v>326</v>
      </c>
      <c r="J59" s="7">
        <v>67.773449999999997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7F98-365E-4778-82B1-A291590697CF}">
  <dimension ref="A1:C52"/>
  <sheetViews>
    <sheetView workbookViewId="0">
      <selection activeCell="J58" sqref="J58"/>
    </sheetView>
  </sheetViews>
  <sheetFormatPr defaultRowHeight="14.5" x14ac:dyDescent="0.35"/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 s="6">
        <f>'Persamaan 4'!D3</f>
        <v>59.86</v>
      </c>
      <c r="C2">
        <f>'Persamaan 4'!Q3</f>
        <v>12552.515435630001</v>
      </c>
    </row>
    <row r="3" spans="1:3" x14ac:dyDescent="0.35">
      <c r="A3">
        <v>2000</v>
      </c>
      <c r="B3" s="6">
        <f>'Persamaan 4'!D4</f>
        <v>59.81</v>
      </c>
      <c r="C3">
        <f>'Persamaan 4'!Q4</f>
        <v>23830.242755930001</v>
      </c>
    </row>
    <row r="4" spans="1:3" x14ac:dyDescent="0.35">
      <c r="A4">
        <v>2001</v>
      </c>
      <c r="B4" s="6">
        <f>'Persamaan 4'!D5</f>
        <v>59.76</v>
      </c>
      <c r="C4">
        <f>'Persamaan 4'!Q5</f>
        <v>-460823.56050727004</v>
      </c>
    </row>
    <row r="5" spans="1:3" x14ac:dyDescent="0.35">
      <c r="A5">
        <v>2001</v>
      </c>
      <c r="B5" s="6">
        <f>'Persamaan 4'!D6</f>
        <v>58.7</v>
      </c>
      <c r="C5">
        <f>'Persamaan 4'!Q6</f>
        <v>24982.432425570001</v>
      </c>
    </row>
    <row r="6" spans="1:3" x14ac:dyDescent="0.35">
      <c r="A6">
        <v>2002</v>
      </c>
      <c r="B6" s="6">
        <f>'Persamaan 4'!D7</f>
        <v>57.64</v>
      </c>
      <c r="C6">
        <f>'Persamaan 4'!Q7</f>
        <v>210245.64477391</v>
      </c>
    </row>
    <row r="7" spans="1:3" x14ac:dyDescent="0.35">
      <c r="A7">
        <v>2002</v>
      </c>
      <c r="B7" s="6">
        <f>'Persamaan 4'!D8</f>
        <v>58.695</v>
      </c>
      <c r="C7">
        <f>'Persamaan 4'!Q8</f>
        <v>12791.012511854997</v>
      </c>
    </row>
    <row r="8" spans="1:3" x14ac:dyDescent="0.35">
      <c r="A8">
        <v>2003</v>
      </c>
      <c r="B8" s="6">
        <f>'Persamaan 4'!D9</f>
        <v>59.75</v>
      </c>
      <c r="C8">
        <f>'Persamaan 4'!Q9</f>
        <v>26266.471566050001</v>
      </c>
    </row>
    <row r="9" spans="1:3" x14ac:dyDescent="0.35">
      <c r="A9">
        <v>2003</v>
      </c>
      <c r="B9" s="6">
        <f>'Persamaan 4'!D10</f>
        <v>59.25</v>
      </c>
      <c r="C9">
        <f>'Persamaan 4'!Q10</f>
        <v>31288.679489990001</v>
      </c>
    </row>
    <row r="10" spans="1:3" x14ac:dyDescent="0.35">
      <c r="A10">
        <v>2004</v>
      </c>
      <c r="B10" s="6">
        <f>'Persamaan 4'!D11</f>
        <v>58.75</v>
      </c>
      <c r="C10">
        <f>'Persamaan 4'!Q11</f>
        <v>26856.49113893</v>
      </c>
    </row>
    <row r="11" spans="1:3" x14ac:dyDescent="0.35">
      <c r="A11">
        <v>2004</v>
      </c>
      <c r="B11" s="6">
        <f>'Persamaan 4'!D12</f>
        <v>59.489999999999995</v>
      </c>
      <c r="C11">
        <f>'Persamaan 4'!Q12</f>
        <v>27187.435669949999</v>
      </c>
    </row>
    <row r="12" spans="1:3" x14ac:dyDescent="0.35">
      <c r="A12">
        <v>2005</v>
      </c>
      <c r="B12" s="6">
        <f>'Persamaan 4'!D13</f>
        <v>60.23</v>
      </c>
      <c r="C12">
        <f>'Persamaan 4'!Q13</f>
        <v>27518.380200970001</v>
      </c>
    </row>
    <row r="13" spans="1:3" x14ac:dyDescent="0.35">
      <c r="A13">
        <v>2005</v>
      </c>
      <c r="B13" s="6">
        <f>'Persamaan 4'!D14</f>
        <v>61.489999999999995</v>
      </c>
      <c r="C13">
        <f>'Persamaan 4'!Q14</f>
        <v>28063.218511840005</v>
      </c>
    </row>
    <row r="14" spans="1:3" x14ac:dyDescent="0.35">
      <c r="A14">
        <v>2006</v>
      </c>
      <c r="B14" s="6">
        <f>'Persamaan 4'!D15</f>
        <v>62.75</v>
      </c>
      <c r="C14">
        <f>'Persamaan 4'!Q15</f>
        <v>28608.056822710001</v>
      </c>
    </row>
    <row r="15" spans="1:3" x14ac:dyDescent="0.35">
      <c r="A15">
        <v>2006</v>
      </c>
      <c r="B15" s="6">
        <f>'Persamaan 4'!D16</f>
        <v>62.2</v>
      </c>
      <c r="C15">
        <f>'Persamaan 4'!Q16</f>
        <v>29111.02989138</v>
      </c>
    </row>
    <row r="16" spans="1:3" x14ac:dyDescent="0.35">
      <c r="A16">
        <v>2007</v>
      </c>
      <c r="B16" s="6">
        <f>'Persamaan 4'!D17</f>
        <v>61.65</v>
      </c>
      <c r="C16">
        <f>'Persamaan 4'!Q17</f>
        <v>29614.002960049998</v>
      </c>
    </row>
    <row r="17" spans="1:3" x14ac:dyDescent="0.35">
      <c r="A17">
        <v>2007</v>
      </c>
      <c r="B17" s="6">
        <f>'Persamaan 4'!D18</f>
        <v>61.314999999999998</v>
      </c>
      <c r="C17">
        <f>'Persamaan 4'!Q18</f>
        <v>30166.680907607497</v>
      </c>
    </row>
    <row r="18" spans="1:3" x14ac:dyDescent="0.35">
      <c r="A18">
        <v>2008</v>
      </c>
      <c r="B18" s="6">
        <f>'Persamaan 4'!D19</f>
        <v>60.98</v>
      </c>
      <c r="C18">
        <f>'Persamaan 4'!Q19</f>
        <v>30719.358855164999</v>
      </c>
    </row>
    <row r="19" spans="1:3" x14ac:dyDescent="0.35">
      <c r="A19">
        <v>2008</v>
      </c>
      <c r="B19" s="6">
        <f>'Persamaan 4'!D20</f>
        <v>61.914999999999999</v>
      </c>
      <c r="C19">
        <f>'Persamaan 4'!Q20</f>
        <v>31244.699772277498</v>
      </c>
    </row>
    <row r="20" spans="1:3" x14ac:dyDescent="0.35">
      <c r="A20">
        <v>2009</v>
      </c>
      <c r="B20" s="6">
        <f>'Persamaan 4'!D21</f>
        <v>62.85</v>
      </c>
      <c r="C20">
        <f>'Persamaan 4'!Q21</f>
        <v>31770.04068939</v>
      </c>
    </row>
    <row r="21" spans="1:3" x14ac:dyDescent="0.35">
      <c r="A21">
        <v>2009</v>
      </c>
      <c r="B21" s="6">
        <f>'Persamaan 4'!D22</f>
        <v>60.814999999999998</v>
      </c>
      <c r="C21">
        <f>'Persamaan 4'!Q22</f>
        <v>32259.369553605</v>
      </c>
    </row>
    <row r="22" spans="1:3" x14ac:dyDescent="0.35">
      <c r="A22">
        <v>2010</v>
      </c>
      <c r="B22" s="6">
        <f>'Persamaan 4'!D23</f>
        <v>58.78</v>
      </c>
      <c r="C22">
        <f>'Persamaan 4'!Q23</f>
        <v>32748.69841782</v>
      </c>
    </row>
    <row r="23" spans="1:3" x14ac:dyDescent="0.35">
      <c r="A23">
        <v>2010</v>
      </c>
      <c r="B23" s="6">
        <f>'Persamaan 4'!D24</f>
        <v>59.625</v>
      </c>
      <c r="C23">
        <f>'Persamaan 4'!Q24</f>
        <v>33290.837636115</v>
      </c>
    </row>
    <row r="24" spans="1:3" x14ac:dyDescent="0.35">
      <c r="A24">
        <v>2011</v>
      </c>
      <c r="B24" s="6">
        <f>'Persamaan 4'!D25</f>
        <v>60.47</v>
      </c>
      <c r="C24">
        <f>'Persamaan 4'!Q25</f>
        <v>33832.976854410001</v>
      </c>
    </row>
    <row r="25" spans="1:3" x14ac:dyDescent="0.35">
      <c r="A25">
        <v>2011</v>
      </c>
      <c r="B25" s="6">
        <f>'Persamaan 4'!D26</f>
        <v>62.62</v>
      </c>
      <c r="C25">
        <f>'Persamaan 4'!Q26</f>
        <v>33884.098289864996</v>
      </c>
    </row>
    <row r="26" spans="1:3" x14ac:dyDescent="0.35">
      <c r="A26">
        <v>2012</v>
      </c>
      <c r="B26" s="6">
        <f>'Persamaan 4'!D27</f>
        <v>64.77</v>
      </c>
      <c r="C26">
        <f>'Persamaan 4'!Q27</f>
        <v>33935.219725319999</v>
      </c>
    </row>
    <row r="27" spans="1:3" x14ac:dyDescent="0.35">
      <c r="A27">
        <v>2012</v>
      </c>
      <c r="B27" s="6">
        <f>'Persamaan 4'!D28</f>
        <v>62.22</v>
      </c>
      <c r="C27">
        <f>'Persamaan 4'!Q28</f>
        <v>33653.003873809997</v>
      </c>
    </row>
    <row r="28" spans="1:3" x14ac:dyDescent="0.35">
      <c r="A28">
        <v>2013</v>
      </c>
      <c r="B28" s="6">
        <f>'Persamaan 4'!D29</f>
        <v>59.67</v>
      </c>
      <c r="C28">
        <f>'Persamaan 4'!Q29</f>
        <v>33370.788022300003</v>
      </c>
    </row>
    <row r="29" spans="1:3" x14ac:dyDescent="0.35">
      <c r="A29">
        <v>2013</v>
      </c>
      <c r="B29" s="6">
        <f>'Persamaan 4'!D30</f>
        <v>57.46</v>
      </c>
      <c r="C29">
        <f>'Persamaan 4'!Q30</f>
        <v>35037.631188075</v>
      </c>
    </row>
    <row r="30" spans="1:3" x14ac:dyDescent="0.35">
      <c r="A30">
        <v>2014</v>
      </c>
      <c r="B30" s="6">
        <f>'Persamaan 4'!D31</f>
        <v>55.25</v>
      </c>
      <c r="C30">
        <f>'Persamaan 4'!Q31</f>
        <v>36704.474353849997</v>
      </c>
    </row>
    <row r="31" spans="1:3" x14ac:dyDescent="0.35">
      <c r="A31">
        <v>2014</v>
      </c>
      <c r="B31" s="6">
        <f>'Persamaan 4'!D32</f>
        <v>58.44</v>
      </c>
      <c r="C31">
        <f>'Persamaan 4'!Q32</f>
        <v>37075.041214010002</v>
      </c>
    </row>
    <row r="32" spans="1:3" x14ac:dyDescent="0.35">
      <c r="A32">
        <v>2015</v>
      </c>
      <c r="B32" s="6">
        <f>'Persamaan 4'!D33</f>
        <v>61.63</v>
      </c>
      <c r="C32">
        <f>'Persamaan 4'!Q33</f>
        <v>37445.608074169999</v>
      </c>
    </row>
    <row r="33" spans="1:3" x14ac:dyDescent="0.35">
      <c r="A33">
        <v>2015</v>
      </c>
      <c r="B33" s="6">
        <f>'Persamaan 4'!D34</f>
        <v>60.269999999999996</v>
      </c>
      <c r="C33">
        <f>'Persamaan 4'!Q34</f>
        <v>37848.160503334999</v>
      </c>
    </row>
    <row r="34" spans="1:3" x14ac:dyDescent="0.35">
      <c r="A34">
        <v>2016</v>
      </c>
      <c r="B34" s="6">
        <f>'Persamaan 4'!D35</f>
        <v>58.91</v>
      </c>
      <c r="C34">
        <f>'Persamaan 4'!Q35</f>
        <v>38250.712932499999</v>
      </c>
    </row>
    <row r="35" spans="1:3" x14ac:dyDescent="0.35">
      <c r="A35">
        <v>2016</v>
      </c>
      <c r="B35" s="6">
        <f>'Persamaan 4'!D36</f>
        <v>63.059999999999995</v>
      </c>
      <c r="C35">
        <f>'Persamaan 4'!Q36</f>
        <v>38064.092875864997</v>
      </c>
    </row>
    <row r="36" spans="1:3" x14ac:dyDescent="0.35">
      <c r="A36">
        <v>2017</v>
      </c>
      <c r="B36" s="6">
        <f>'Persamaan 4'!D37</f>
        <v>67.209999999999994</v>
      </c>
      <c r="C36">
        <f>'Persamaan 4'!Q37</f>
        <v>37877.472819230003</v>
      </c>
    </row>
    <row r="37" spans="1:3" x14ac:dyDescent="0.35">
      <c r="A37">
        <v>2017</v>
      </c>
      <c r="B37" s="6">
        <f>'Persamaan 4'!D38</f>
        <v>68.509999999999991</v>
      </c>
      <c r="C37">
        <f>'Persamaan 4'!Q38</f>
        <v>37749.173601529998</v>
      </c>
    </row>
    <row r="38" spans="1:3" x14ac:dyDescent="0.35">
      <c r="A38">
        <v>2018</v>
      </c>
      <c r="B38" s="6">
        <f>'Persamaan 4'!D39</f>
        <v>69.81</v>
      </c>
      <c r="C38">
        <f>'Persamaan 4'!Q39</f>
        <v>37620.87438383</v>
      </c>
    </row>
    <row r="39" spans="1:3" x14ac:dyDescent="0.35">
      <c r="A39">
        <v>2018</v>
      </c>
      <c r="B39" s="6">
        <f>'Persamaan 4'!D40</f>
        <v>75.625</v>
      </c>
      <c r="C39">
        <f>'Persamaan 4'!Q40</f>
        <v>33817.457565769997</v>
      </c>
    </row>
    <row r="40" spans="1:3" x14ac:dyDescent="0.35">
      <c r="A40">
        <v>2019</v>
      </c>
      <c r="B40" s="6">
        <f>'Persamaan 4'!D41</f>
        <v>81.44</v>
      </c>
      <c r="C40">
        <f>'Persamaan 4'!Q41</f>
        <v>30014.040747710002</v>
      </c>
    </row>
    <row r="41" spans="1:3" x14ac:dyDescent="0.35">
      <c r="A41">
        <v>2019</v>
      </c>
      <c r="B41" s="6">
        <f>'Persamaan 4'!D42</f>
        <v>76.64</v>
      </c>
      <c r="C41">
        <f>'Persamaan 4'!Q42</f>
        <v>30008.930691935002</v>
      </c>
    </row>
    <row r="42" spans="1:3" x14ac:dyDescent="0.35">
      <c r="A42">
        <v>2020</v>
      </c>
      <c r="B42" s="6">
        <f>'Persamaan 4'!D43</f>
        <v>71.84</v>
      </c>
      <c r="C42">
        <f>'Persamaan 4'!Q43</f>
        <v>30003.820636160002</v>
      </c>
    </row>
    <row r="43" spans="1:3" x14ac:dyDescent="0.35">
      <c r="A43">
        <v>2020</v>
      </c>
      <c r="B43" s="6">
        <f>'Persamaan 4'!D44</f>
        <v>74.240000000000009</v>
      </c>
      <c r="C43">
        <f>'Persamaan 4'!Q44</f>
        <v>30006.3756640475</v>
      </c>
    </row>
    <row r="44" spans="1:3" x14ac:dyDescent="0.35">
      <c r="A44">
        <v>2021</v>
      </c>
      <c r="B44" s="6">
        <f>'Persamaan 4'!D45</f>
        <v>69.328455284552902</v>
      </c>
      <c r="C44">
        <f>'Persamaan 4'!Q45</f>
        <v>37475.503624518569</v>
      </c>
    </row>
    <row r="45" spans="1:3" x14ac:dyDescent="0.35">
      <c r="A45">
        <v>2021</v>
      </c>
      <c r="B45" s="6">
        <f>'Persamaan 4'!D46</f>
        <v>69.6334443454069</v>
      </c>
      <c r="C45">
        <f>'Persamaan 4'!Q46</f>
        <v>37760.930545733172</v>
      </c>
    </row>
    <row r="46" spans="1:3" x14ac:dyDescent="0.35">
      <c r="A46">
        <v>2022</v>
      </c>
      <c r="B46" s="6">
        <f>'Persamaan 4'!D47</f>
        <v>69.938433406260998</v>
      </c>
      <c r="C46">
        <f>'Persamaan 4'!Q47</f>
        <v>38046.357466947884</v>
      </c>
    </row>
    <row r="47" spans="1:3" x14ac:dyDescent="0.35">
      <c r="A47">
        <v>2022</v>
      </c>
      <c r="B47" s="6">
        <f>'Persamaan 4'!D48</f>
        <v>70.243422467115096</v>
      </c>
      <c r="C47">
        <f>'Persamaan 4'!Q48</f>
        <v>38331.784388162487</v>
      </c>
    </row>
    <row r="48" spans="1:3" x14ac:dyDescent="0.35">
      <c r="A48">
        <v>2023</v>
      </c>
      <c r="B48" s="6">
        <f>'Persamaan 4'!D49</f>
        <v>70.548411527969094</v>
      </c>
    </row>
    <row r="49" spans="1:2" x14ac:dyDescent="0.35">
      <c r="A49">
        <v>2024</v>
      </c>
      <c r="B49" s="6">
        <f>'Persamaan 4'!D50</f>
        <v>70.853400588823206</v>
      </c>
    </row>
    <row r="50" spans="1:2" x14ac:dyDescent="0.35">
      <c r="A50">
        <v>2025</v>
      </c>
      <c r="B50" s="6">
        <f>'Persamaan 4'!D51</f>
        <v>71.158389649677304</v>
      </c>
    </row>
    <row r="51" spans="1:2" x14ac:dyDescent="0.35">
      <c r="A51">
        <v>2026</v>
      </c>
      <c r="B51" s="6">
        <f>'Persamaan 4'!D52</f>
        <v>71.463378710531302</v>
      </c>
    </row>
    <row r="52" spans="1:2" x14ac:dyDescent="0.35">
      <c r="A52">
        <v>2027</v>
      </c>
      <c r="B52" s="6">
        <f>'Persamaan 4'!D53</f>
        <v>71.7683677713854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7EB5-977B-487B-A874-4161262A698C}">
  <dimension ref="A1:M21"/>
  <sheetViews>
    <sheetView topLeftCell="A17" workbookViewId="0">
      <selection activeCell="A12" sqref="A12:F21"/>
    </sheetView>
  </sheetViews>
  <sheetFormatPr defaultRowHeight="14.5" x14ac:dyDescent="0.35"/>
  <cols>
    <col min="1" max="1" width="13.81640625" bestFit="1" customWidth="1"/>
    <col min="2" max="2" width="13.26953125" customWidth="1"/>
    <col min="6" max="6" width="20.26953125" bestFit="1" customWidth="1"/>
    <col min="8" max="8" width="12.90625" bestFit="1" customWidth="1"/>
    <col min="9" max="9" width="12.453125" bestFit="1" customWidth="1"/>
    <col min="11" max="11" width="11.81640625" bestFit="1" customWidth="1"/>
    <col min="12" max="12" width="9.26953125" bestFit="1" customWidth="1"/>
  </cols>
  <sheetData>
    <row r="1" spans="1:13" ht="31.5" thickBot="1" x14ac:dyDescent="0.4">
      <c r="A1" s="70" t="s">
        <v>441</v>
      </c>
      <c r="B1" s="71" t="s">
        <v>442</v>
      </c>
    </row>
    <row r="2" spans="1:13" ht="16" thickBot="1" x14ac:dyDescent="0.4">
      <c r="A2" t="s">
        <v>146</v>
      </c>
      <c r="B2" s="27">
        <v>0.959287</v>
      </c>
      <c r="G2" s="78" t="s">
        <v>145</v>
      </c>
      <c r="H2" t="s">
        <v>146</v>
      </c>
      <c r="I2" t="s">
        <v>147</v>
      </c>
      <c r="J2" t="s">
        <v>148</v>
      </c>
      <c r="K2" t="s">
        <v>149</v>
      </c>
      <c r="L2" t="s">
        <v>219</v>
      </c>
      <c r="M2" s="74" t="s">
        <v>466</v>
      </c>
    </row>
    <row r="3" spans="1:13" ht="14.5" customHeight="1" x14ac:dyDescent="0.35">
      <c r="A3" t="s">
        <v>147</v>
      </c>
      <c r="B3" s="27">
        <v>-1.7329999999999999E-3</v>
      </c>
      <c r="F3" t="s">
        <v>459</v>
      </c>
      <c r="G3" s="11">
        <f>AVERAGE('Persamaan 4'!D3:D48)</f>
        <v>63.381168597898622</v>
      </c>
      <c r="H3" s="11">
        <f>AVERAGE('Persamaan 4'!G3:G48)</f>
        <v>73.325404005618125</v>
      </c>
      <c r="I3" s="11">
        <f>AVERAGE('Persamaan 4'!H3:H48)</f>
        <v>504.14059841179807</v>
      </c>
      <c r="J3" s="11">
        <f>AVERAGE('Persamaan 4'!I3:I48)</f>
        <v>92.758890858385342</v>
      </c>
      <c r="K3" s="11">
        <f>AVERAGE('Persamaan 4'!J3:J48)</f>
        <v>3438.4072063311987</v>
      </c>
      <c r="L3" s="11">
        <f>AVERAGE('Persamaan 4'!K3:K48)</f>
        <v>31918.057790562601</v>
      </c>
      <c r="M3" s="11">
        <f>AVERAGE('Persamaan 4'!L3:L48)</f>
        <v>62.68939486940549</v>
      </c>
    </row>
    <row r="4" spans="1:13" ht="29" x14ac:dyDescent="0.35">
      <c r="A4" t="s">
        <v>148</v>
      </c>
      <c r="B4" s="27">
        <v>-0.76420299999999997</v>
      </c>
      <c r="F4" s="80" t="s">
        <v>460</v>
      </c>
      <c r="H4">
        <f>H3/$G$3</f>
        <v>1.1568957409227889</v>
      </c>
      <c r="I4">
        <f t="shared" ref="I4:M4" si="0">I3/$G$3</f>
        <v>7.9541070252294563</v>
      </c>
      <c r="J4">
        <f t="shared" si="0"/>
        <v>1.4635086873652363</v>
      </c>
      <c r="K4">
        <f t="shared" si="0"/>
        <v>54.249665671913753</v>
      </c>
      <c r="L4">
        <f t="shared" si="0"/>
        <v>503.58897597891297</v>
      </c>
      <c r="M4">
        <f t="shared" si="0"/>
        <v>0.9890855005706527</v>
      </c>
    </row>
    <row r="5" spans="1:13" x14ac:dyDescent="0.35">
      <c r="A5" t="s">
        <v>149</v>
      </c>
      <c r="B5" s="27">
        <v>1.4323000000000001E-2</v>
      </c>
      <c r="F5" t="s">
        <v>461</v>
      </c>
      <c r="H5" s="27">
        <f>B2</f>
        <v>0.959287</v>
      </c>
      <c r="I5" s="27">
        <f>B3</f>
        <v>-1.7329999999999999E-3</v>
      </c>
      <c r="J5" s="27">
        <f>B4</f>
        <v>-0.76420299999999997</v>
      </c>
      <c r="K5" s="27">
        <f>B5</f>
        <v>1.4323000000000001E-2</v>
      </c>
      <c r="L5" s="27">
        <f>B6</f>
        <v>-1.2650000000000001E-3</v>
      </c>
      <c r="M5">
        <f>B7</f>
        <v>-186.21100000000001</v>
      </c>
    </row>
    <row r="6" spans="1:13" x14ac:dyDescent="0.35">
      <c r="A6" t="s">
        <v>219</v>
      </c>
      <c r="B6" s="27">
        <v>-1.2650000000000001E-3</v>
      </c>
      <c r="F6" t="s">
        <v>462</v>
      </c>
      <c r="H6">
        <f>H5*H4</f>
        <v>1.1097950446225995</v>
      </c>
      <c r="I6">
        <f t="shared" ref="I6:L6" si="1">I5*I4</f>
        <v>-1.3784467474722648E-2</v>
      </c>
      <c r="J6">
        <f t="shared" si="1"/>
        <v>-1.1184177294105757</v>
      </c>
      <c r="K6">
        <f t="shared" si="1"/>
        <v>0.77701796141882074</v>
      </c>
      <c r="L6">
        <f t="shared" si="1"/>
        <v>-0.63704005461332491</v>
      </c>
    </row>
    <row r="7" spans="1:13" ht="14.5" customHeight="1" thickBot="1" x14ac:dyDescent="0.4">
      <c r="A7" s="74" t="s">
        <v>151</v>
      </c>
      <c r="B7" s="27">
        <v>-186.21100000000001</v>
      </c>
      <c r="F7" t="s">
        <v>463</v>
      </c>
      <c r="H7">
        <f>H6/(1-$M$5)</f>
        <v>5.9280439964670851E-3</v>
      </c>
      <c r="I7">
        <f t="shared" ref="I7:L7" si="2">I6/(1-$M$5)</f>
        <v>-7.3630649239214823E-5</v>
      </c>
      <c r="J7">
        <f t="shared" si="2"/>
        <v>-5.9741026403927954E-3</v>
      </c>
      <c r="K7">
        <f t="shared" si="2"/>
        <v>4.1504930875793664E-3</v>
      </c>
      <c r="L7">
        <f t="shared" si="2"/>
        <v>-3.4027917943567679E-3</v>
      </c>
    </row>
    <row r="8" spans="1:13" ht="14.5" customHeight="1" x14ac:dyDescent="0.35">
      <c r="A8" t="s">
        <v>326</v>
      </c>
      <c r="B8">
        <v>67.773449999999997</v>
      </c>
    </row>
    <row r="12" spans="1:13" ht="15.5" customHeight="1" x14ac:dyDescent="0.35">
      <c r="A12" s="114" t="s">
        <v>441</v>
      </c>
      <c r="B12" s="114" t="s">
        <v>442</v>
      </c>
      <c r="C12" s="114" t="s">
        <v>443</v>
      </c>
      <c r="D12" s="113" t="s">
        <v>625</v>
      </c>
      <c r="E12" s="113"/>
      <c r="F12" s="114" t="s">
        <v>444</v>
      </c>
      <c r="G12" s="77"/>
      <c r="H12" s="82"/>
    </row>
    <row r="13" spans="1:13" ht="15.5" x14ac:dyDescent="0.35">
      <c r="A13" s="115"/>
      <c r="B13" s="115"/>
      <c r="C13" s="115"/>
      <c r="D13" s="101" t="s">
        <v>626</v>
      </c>
      <c r="E13" s="101" t="s">
        <v>627</v>
      </c>
      <c r="F13" s="115"/>
      <c r="G13" s="100"/>
      <c r="H13" s="100"/>
    </row>
    <row r="14" spans="1:13" ht="46.5" customHeight="1" x14ac:dyDescent="0.35">
      <c r="A14" s="67" t="s">
        <v>146</v>
      </c>
      <c r="B14" s="67" t="s">
        <v>488</v>
      </c>
      <c r="C14" s="69" t="s">
        <v>489</v>
      </c>
      <c r="D14" s="72">
        <v>1.1097950446225995</v>
      </c>
      <c r="E14" s="72">
        <v>5.9280439964670851E-3</v>
      </c>
      <c r="F14" s="90" t="s">
        <v>490</v>
      </c>
      <c r="H14" s="90"/>
    </row>
    <row r="15" spans="1:13" ht="93" customHeight="1" x14ac:dyDescent="0.35">
      <c r="A15" s="67" t="s">
        <v>147</v>
      </c>
      <c r="B15" s="90" t="s">
        <v>491</v>
      </c>
      <c r="C15" s="90" t="s">
        <v>492</v>
      </c>
      <c r="D15" s="72">
        <v>-1.3784467474722648E-2</v>
      </c>
      <c r="E15" s="72">
        <v>-7.3630649239214823E-5</v>
      </c>
      <c r="F15" s="90" t="s">
        <v>493</v>
      </c>
      <c r="H15" s="90"/>
    </row>
    <row r="16" spans="1:13" ht="46.5" customHeight="1" x14ac:dyDescent="0.35">
      <c r="A16" s="67" t="s">
        <v>148</v>
      </c>
      <c r="B16" s="90" t="s">
        <v>494</v>
      </c>
      <c r="C16" s="90" t="s">
        <v>495</v>
      </c>
      <c r="D16" s="72">
        <v>-1.1184177294105757</v>
      </c>
      <c r="E16" s="72">
        <v>-5.9741026403927954E-3</v>
      </c>
      <c r="F16" s="90" t="s">
        <v>496</v>
      </c>
      <c r="H16" s="90"/>
    </row>
    <row r="17" spans="1:8" ht="62" customHeight="1" x14ac:dyDescent="0.35">
      <c r="A17" s="67" t="s">
        <v>497</v>
      </c>
      <c r="B17" s="67" t="s">
        <v>498</v>
      </c>
      <c r="C17" s="69" t="s">
        <v>499</v>
      </c>
      <c r="D17" s="72">
        <v>0.77701796141882074</v>
      </c>
      <c r="E17" s="72">
        <v>4.1504930875793664E-3</v>
      </c>
      <c r="F17" s="90" t="s">
        <v>500</v>
      </c>
      <c r="H17" s="90"/>
    </row>
    <row r="18" spans="1:8" ht="77.5" customHeight="1" x14ac:dyDescent="0.35">
      <c r="A18" s="67" t="s">
        <v>219</v>
      </c>
      <c r="B18" s="67" t="s">
        <v>501</v>
      </c>
      <c r="C18" s="69" t="s">
        <v>502</v>
      </c>
      <c r="D18" s="72">
        <v>-0.63704005461332491</v>
      </c>
      <c r="E18" s="72">
        <v>-3.4027917943567679E-3</v>
      </c>
      <c r="F18" s="90" t="s">
        <v>503</v>
      </c>
      <c r="H18" s="90"/>
    </row>
    <row r="19" spans="1:8" ht="46.5" customHeight="1" x14ac:dyDescent="0.35">
      <c r="A19" s="67" t="s">
        <v>466</v>
      </c>
      <c r="B19" s="67" t="s">
        <v>504</v>
      </c>
      <c r="C19" s="69" t="s">
        <v>505</v>
      </c>
      <c r="D19" s="72"/>
      <c r="E19" s="72"/>
      <c r="F19" s="90" t="s">
        <v>506</v>
      </c>
      <c r="H19" s="90"/>
    </row>
    <row r="20" spans="1:8" ht="15.5" x14ac:dyDescent="0.35">
      <c r="A20" s="67" t="s">
        <v>456</v>
      </c>
      <c r="B20" s="68">
        <v>68923</v>
      </c>
      <c r="C20" s="104">
        <v>1805</v>
      </c>
      <c r="D20" s="102"/>
      <c r="E20" s="102"/>
      <c r="F20" s="102"/>
      <c r="G20" s="116"/>
      <c r="H20" s="116"/>
    </row>
    <row r="21" spans="1:8" ht="31" customHeight="1" x14ac:dyDescent="0.35">
      <c r="A21" s="112" t="s">
        <v>507</v>
      </c>
      <c r="B21" s="112"/>
      <c r="C21" s="112"/>
      <c r="D21" s="112"/>
      <c r="E21" s="112"/>
      <c r="F21" s="112"/>
      <c r="G21" s="90"/>
      <c r="H21" s="82"/>
    </row>
  </sheetData>
  <mergeCells count="7">
    <mergeCell ref="G20:H20"/>
    <mergeCell ref="D12:E12"/>
    <mergeCell ref="F12:F13"/>
    <mergeCell ref="A21:F21"/>
    <mergeCell ref="A12:A13"/>
    <mergeCell ref="B12:B13"/>
    <mergeCell ref="C12:C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04"/>
  <sheetViews>
    <sheetView workbookViewId="0">
      <selection activeCell="G53" sqref="G53:H61"/>
    </sheetView>
  </sheetViews>
  <sheetFormatPr defaultRowHeight="14.5" x14ac:dyDescent="0.35"/>
  <cols>
    <col min="3" max="3" width="10.1796875" bestFit="1" customWidth="1"/>
    <col min="4" max="4" width="10.1796875" customWidth="1"/>
    <col min="8" max="8" width="11.1796875" bestFit="1" customWidth="1"/>
    <col min="10" max="10" width="14.54296875" customWidth="1"/>
    <col min="11" max="11" width="10.1796875" bestFit="1" customWidth="1"/>
    <col min="13" max="13" width="11.7265625" bestFit="1" customWidth="1"/>
    <col min="14" max="14" width="12.7265625" bestFit="1" customWidth="1"/>
  </cols>
  <sheetData>
    <row r="1" spans="1:22" ht="15.5" x14ac:dyDescent="0.35">
      <c r="C1" s="19" t="s">
        <v>97</v>
      </c>
      <c r="D1" s="19"/>
      <c r="E1" s="19" t="s">
        <v>96</v>
      </c>
      <c r="F1" s="19" t="s">
        <v>172</v>
      </c>
      <c r="G1" s="19" t="s">
        <v>98</v>
      </c>
      <c r="H1" s="19" t="s">
        <v>99</v>
      </c>
      <c r="I1" s="19" t="s">
        <v>100</v>
      </c>
      <c r="J1" s="19" t="s">
        <v>101</v>
      </c>
      <c r="K1" s="19" t="s">
        <v>102</v>
      </c>
    </row>
    <row r="2" spans="1:22" ht="15.5" x14ac:dyDescent="0.35">
      <c r="M2" t="s">
        <v>332</v>
      </c>
      <c r="N2" t="s">
        <v>327</v>
      </c>
      <c r="O2" s="19"/>
      <c r="P2" s="19"/>
      <c r="Q2" s="19"/>
      <c r="R2" s="19"/>
      <c r="S2" s="19"/>
      <c r="T2" s="19"/>
      <c r="U2" s="19"/>
      <c r="V2" s="19"/>
    </row>
    <row r="3" spans="1:22" ht="15.5" x14ac:dyDescent="0.35">
      <c r="A3">
        <v>2000</v>
      </c>
      <c r="B3">
        <v>1</v>
      </c>
      <c r="C3" s="7">
        <v>27275.254000000001</v>
      </c>
      <c r="D3" s="7"/>
      <c r="E3" s="7">
        <v>7081</v>
      </c>
      <c r="F3" s="7">
        <v>4347</v>
      </c>
      <c r="G3" s="7">
        <v>7081</v>
      </c>
      <c r="H3" s="7">
        <v>229.16127800000001</v>
      </c>
      <c r="I3" s="6">
        <v>43.812322881829559</v>
      </c>
      <c r="J3" s="6">
        <v>3.3010299956639813</v>
      </c>
      <c r="K3" s="7">
        <v>27.275254</v>
      </c>
      <c r="M3" s="7">
        <v>27275.254000000001</v>
      </c>
      <c r="N3" s="19">
        <v>1018.106081493743</v>
      </c>
      <c r="O3" s="7">
        <v>26257.147918506256</v>
      </c>
    </row>
    <row r="4" spans="1:22" ht="15.5" x14ac:dyDescent="0.35">
      <c r="B4">
        <v>2</v>
      </c>
      <c r="C4" s="7">
        <v>27553.573</v>
      </c>
      <c r="D4" s="36">
        <v>1.0204084625573038E-2</v>
      </c>
      <c r="E4" s="7">
        <v>7132</v>
      </c>
      <c r="F4" s="7">
        <v>4564.3500000000004</v>
      </c>
      <c r="G4" s="7">
        <v>7132</v>
      </c>
      <c r="H4" s="7">
        <v>229.8645095</v>
      </c>
      <c r="I4" s="6">
        <v>44.100853883584264</v>
      </c>
      <c r="J4" s="6">
        <v>3.3010299956639813</v>
      </c>
      <c r="K4" s="7">
        <v>27.553573</v>
      </c>
      <c r="M4" s="7">
        <v>27553.573</v>
      </c>
      <c r="N4" s="19">
        <v>1205.0843483969172</v>
      </c>
      <c r="O4" s="7">
        <v>26348.488651603082</v>
      </c>
    </row>
    <row r="5" spans="1:22" ht="15.5" x14ac:dyDescent="0.35">
      <c r="A5">
        <v>2001</v>
      </c>
      <c r="B5">
        <v>1</v>
      </c>
      <c r="C5" s="7">
        <v>27831.892</v>
      </c>
      <c r="D5" s="36">
        <v>1.0101013033772407E-2</v>
      </c>
      <c r="E5" s="7">
        <v>7183</v>
      </c>
      <c r="F5" s="7">
        <v>4781.7</v>
      </c>
      <c r="G5" s="7">
        <v>7183</v>
      </c>
      <c r="H5" s="7">
        <v>230.56774100000001</v>
      </c>
      <c r="I5" s="6">
        <v>44.389384885338963</v>
      </c>
      <c r="J5" s="6">
        <v>3.3012470886362113</v>
      </c>
      <c r="K5" s="7">
        <v>27.831892</v>
      </c>
      <c r="M5" s="7">
        <v>27831.892</v>
      </c>
      <c r="N5" s="19">
        <v>1390.1986967224029</v>
      </c>
      <c r="O5" s="7">
        <v>26441.693303277596</v>
      </c>
    </row>
    <row r="6" spans="1:22" ht="15.5" x14ac:dyDescent="0.35">
      <c r="B6">
        <v>2</v>
      </c>
      <c r="C6" s="7">
        <v>28058.1675</v>
      </c>
      <c r="D6" s="36">
        <v>8.1300796941867898E-3</v>
      </c>
      <c r="E6" s="7">
        <v>7184.5</v>
      </c>
      <c r="F6" s="7">
        <v>4936.95</v>
      </c>
      <c r="G6" s="7">
        <v>7184.5</v>
      </c>
      <c r="H6" s="7">
        <v>231.27528849999999</v>
      </c>
      <c r="I6" s="6">
        <v>44.681716194107658</v>
      </c>
      <c r="J6" s="6">
        <v>3.3012470886362113</v>
      </c>
      <c r="K6" s="7">
        <v>28.0581675</v>
      </c>
      <c r="M6" s="7">
        <v>28058.1675</v>
      </c>
      <c r="N6" s="19">
        <v>1191.0834950343269</v>
      </c>
      <c r="O6" s="7">
        <v>26867.084004965673</v>
      </c>
      <c r="V6" s="22"/>
    </row>
    <row r="7" spans="1:22" ht="15.5" x14ac:dyDescent="0.35">
      <c r="A7">
        <v>2002</v>
      </c>
      <c r="B7">
        <v>1</v>
      </c>
      <c r="C7" s="7">
        <v>28284.442999999999</v>
      </c>
      <c r="D7" s="36">
        <v>8.0645145482148729E-3</v>
      </c>
      <c r="E7" s="7">
        <v>7186</v>
      </c>
      <c r="F7" s="7">
        <v>5092.2</v>
      </c>
      <c r="G7" s="7">
        <v>7186</v>
      </c>
      <c r="H7" s="7">
        <v>231.98283599999999</v>
      </c>
      <c r="I7" s="6">
        <v>44.974047502876353</v>
      </c>
      <c r="J7" s="6">
        <v>3.3014640731433</v>
      </c>
      <c r="K7" s="7">
        <v>28.284443</v>
      </c>
      <c r="M7" s="7">
        <v>28284.442999999999</v>
      </c>
      <c r="N7" s="19">
        <v>990.10530602950246</v>
      </c>
      <c r="O7" s="7">
        <v>27294.337693970498</v>
      </c>
    </row>
    <row r="8" spans="1:22" ht="15.5" x14ac:dyDescent="0.35">
      <c r="B8">
        <v>2</v>
      </c>
      <c r="C8" s="7">
        <v>28441.737999999998</v>
      </c>
      <c r="D8" s="36">
        <v>5.5611842877725491E-3</v>
      </c>
      <c r="E8" s="7">
        <v>7238.5</v>
      </c>
      <c r="F8" s="7">
        <v>5442.95</v>
      </c>
      <c r="G8" s="7">
        <v>7238.5</v>
      </c>
      <c r="H8" s="7">
        <v>232.6947265</v>
      </c>
      <c r="I8" s="6">
        <v>45.270229173361358</v>
      </c>
      <c r="J8" s="6">
        <v>3.3014640731433</v>
      </c>
      <c r="K8" s="7">
        <v>28.441737999999997</v>
      </c>
      <c r="M8" s="7">
        <v>28441.737999999998</v>
      </c>
      <c r="N8" s="19">
        <v>2029.8231642057888</v>
      </c>
      <c r="O8" s="7">
        <v>26411.91483579421</v>
      </c>
    </row>
    <row r="9" spans="1:22" ht="15.5" x14ac:dyDescent="0.35">
      <c r="A9">
        <v>2003</v>
      </c>
      <c r="B9">
        <v>1</v>
      </c>
      <c r="C9" s="7">
        <v>28599.032999999999</v>
      </c>
      <c r="D9" s="36">
        <v>5.5304285553858176E-3</v>
      </c>
      <c r="E9" s="7">
        <v>7291</v>
      </c>
      <c r="F9" s="7">
        <v>5793.7</v>
      </c>
      <c r="G9" s="7">
        <v>7291</v>
      </c>
      <c r="H9" s="7">
        <v>233.40661700000001</v>
      </c>
      <c r="I9" s="6">
        <v>45.566410843846356</v>
      </c>
      <c r="J9" s="6">
        <v>3.3016809492935764</v>
      </c>
      <c r="K9" s="7">
        <v>28.599032999999999</v>
      </c>
      <c r="M9" s="7">
        <v>28599.032999999999</v>
      </c>
      <c r="N9" s="19">
        <v>3067.67896539605</v>
      </c>
      <c r="O9" s="7">
        <v>25531.354034603948</v>
      </c>
    </row>
    <row r="10" spans="1:22" ht="15.5" x14ac:dyDescent="0.35">
      <c r="B10">
        <v>2</v>
      </c>
      <c r="C10" s="7">
        <v>28802.068500000001</v>
      </c>
      <c r="D10" s="36">
        <v>7.0993833952358379E-3</v>
      </c>
      <c r="E10" s="7">
        <v>7294</v>
      </c>
      <c r="F10" s="7">
        <v>6049</v>
      </c>
      <c r="G10" s="7">
        <v>7294</v>
      </c>
      <c r="H10" s="7">
        <v>234.12287600000002</v>
      </c>
      <c r="I10" s="6">
        <v>45.866493590031766</v>
      </c>
      <c r="J10" s="6">
        <v>3.3016809492935764</v>
      </c>
      <c r="K10" s="7">
        <v>28.802068500000001</v>
      </c>
      <c r="M10" s="7">
        <v>28802.068500000001</v>
      </c>
      <c r="N10" s="19">
        <v>3499.9034496945233</v>
      </c>
      <c r="O10" s="7">
        <v>25302.165050305477</v>
      </c>
    </row>
    <row r="11" spans="1:22" ht="15.5" x14ac:dyDescent="0.35">
      <c r="A11">
        <v>2004</v>
      </c>
      <c r="B11">
        <v>1</v>
      </c>
      <c r="C11" s="7">
        <v>29005.103999999999</v>
      </c>
      <c r="D11" s="36">
        <v>7.0493374460239939E-3</v>
      </c>
      <c r="E11" s="7">
        <v>7297</v>
      </c>
      <c r="F11" s="7">
        <v>6304.2999999999993</v>
      </c>
      <c r="G11" s="7">
        <v>7297</v>
      </c>
      <c r="H11" s="7">
        <v>234.839135</v>
      </c>
      <c r="I11" s="6">
        <v>46.166576336217176</v>
      </c>
      <c r="J11" s="6">
        <v>3.301897717195208</v>
      </c>
      <c r="K11" s="7">
        <v>29.005103999999999</v>
      </c>
      <c r="M11" s="7">
        <v>29005.103999999999</v>
      </c>
      <c r="N11" s="19">
        <v>3930.2668064089371</v>
      </c>
      <c r="O11" s="7">
        <v>25074.837193591062</v>
      </c>
    </row>
    <row r="12" spans="1:22" ht="15.5" x14ac:dyDescent="0.35">
      <c r="B12">
        <v>2</v>
      </c>
      <c r="C12" s="7">
        <v>29151.594499999999</v>
      </c>
      <c r="D12" s="36">
        <v>5.0505076623755555E-3</v>
      </c>
      <c r="E12" s="7">
        <v>7301.5</v>
      </c>
      <c r="F12" s="7">
        <v>6372.15</v>
      </c>
      <c r="G12" s="7">
        <v>7301.5</v>
      </c>
      <c r="H12" s="7">
        <v>235.55979050000002</v>
      </c>
      <c r="I12" s="6">
        <v>46.470611540052445</v>
      </c>
      <c r="J12" s="6">
        <v>3.301897717195208</v>
      </c>
      <c r="K12" s="7">
        <v>29.151594499999998</v>
      </c>
      <c r="M12" s="7">
        <v>29151.594499999999</v>
      </c>
      <c r="N12" s="19">
        <v>3102.8092032597119</v>
      </c>
      <c r="O12" s="7">
        <v>26048.785296740287</v>
      </c>
    </row>
    <row r="13" spans="1:22" ht="15.5" x14ac:dyDescent="0.35">
      <c r="A13">
        <v>2005</v>
      </c>
      <c r="B13">
        <v>1</v>
      </c>
      <c r="C13" s="7">
        <v>29298.084999999999</v>
      </c>
      <c r="D13" s="36">
        <v>5.0251282138272018E-3</v>
      </c>
      <c r="E13" s="7">
        <v>7306</v>
      </c>
      <c r="F13" s="7">
        <v>6439.9999999999991</v>
      </c>
      <c r="G13" s="7">
        <v>7306</v>
      </c>
      <c r="H13" s="7">
        <v>236.28044600000001</v>
      </c>
      <c r="I13" s="6">
        <v>46.774646743887715</v>
      </c>
      <c r="J13" s="6">
        <v>3.3021143769562009</v>
      </c>
      <c r="K13" s="7">
        <v>29.298085</v>
      </c>
      <c r="M13" s="7">
        <v>29298.084999999999</v>
      </c>
      <c r="N13" s="19">
        <v>2273.4914010012467</v>
      </c>
      <c r="O13" s="7">
        <v>27024.593598998752</v>
      </c>
    </row>
    <row r="14" spans="1:22" ht="15.5" x14ac:dyDescent="0.35">
      <c r="B14">
        <v>2</v>
      </c>
      <c r="C14" s="7">
        <v>29536.280999999999</v>
      </c>
      <c r="D14" s="36">
        <v>8.1300876832052314E-3</v>
      </c>
      <c r="E14" s="7">
        <v>7360.5</v>
      </c>
      <c r="F14" s="7">
        <v>6508.9999999999991</v>
      </c>
      <c r="G14" s="7">
        <v>7360.5</v>
      </c>
      <c r="H14" s="7">
        <v>237.00552450000001</v>
      </c>
      <c r="I14" s="6">
        <v>47.082686464085555</v>
      </c>
      <c r="J14" s="6">
        <v>3.3021143769562009</v>
      </c>
      <c r="K14" s="7">
        <v>29.536280999999999</v>
      </c>
      <c r="M14" s="7">
        <v>29536.280999999999</v>
      </c>
      <c r="N14" s="19">
        <v>1396.7537831477839</v>
      </c>
      <c r="O14" s="7">
        <v>28139.527216852213</v>
      </c>
    </row>
    <row r="15" spans="1:22" ht="15.5" x14ac:dyDescent="0.35">
      <c r="A15">
        <v>2006</v>
      </c>
      <c r="B15">
        <v>1</v>
      </c>
      <c r="C15" s="7">
        <v>29774.476999999999</v>
      </c>
      <c r="D15" s="36">
        <v>8.0645224088977188E-3</v>
      </c>
      <c r="E15" s="7">
        <v>7415</v>
      </c>
      <c r="F15" s="7">
        <v>6577.9999999999991</v>
      </c>
      <c r="G15" s="7">
        <v>7415</v>
      </c>
      <c r="H15" s="7">
        <v>237.730603</v>
      </c>
      <c r="I15" s="6">
        <v>47.390726184283402</v>
      </c>
      <c r="J15" s="6">
        <v>3.3023309286843991</v>
      </c>
      <c r="K15" s="7">
        <v>29.774476999999997</v>
      </c>
      <c r="M15" s="7">
        <v>29774.476999999999</v>
      </c>
      <c r="N15" s="19">
        <v>518.15689373385703</v>
      </c>
      <c r="O15" s="7">
        <v>29256.320106266143</v>
      </c>
    </row>
    <row r="16" spans="1:22" ht="15.5" x14ac:dyDescent="0.35">
      <c r="B16">
        <v>2</v>
      </c>
      <c r="C16" s="7">
        <v>30016.546000000002</v>
      </c>
      <c r="D16" s="36">
        <v>8.1300840313669707E-3</v>
      </c>
      <c r="E16" s="7">
        <v>7471</v>
      </c>
      <c r="F16" s="7">
        <v>6883.9</v>
      </c>
      <c r="G16" s="7">
        <v>7471</v>
      </c>
      <c r="H16" s="7">
        <v>238.46013149999999</v>
      </c>
      <c r="I16" s="6">
        <v>47.702823165233596</v>
      </c>
      <c r="J16" s="6">
        <v>3.3023309286843991</v>
      </c>
      <c r="K16" s="7">
        <v>30.016546000000002</v>
      </c>
      <c r="M16" s="7">
        <v>30016.546000000002</v>
      </c>
      <c r="N16" s="19">
        <v>1194.7199684194077</v>
      </c>
      <c r="O16" s="7">
        <v>28821.826031580593</v>
      </c>
    </row>
    <row r="17" spans="1:15" ht="15.5" x14ac:dyDescent="0.35">
      <c r="A17">
        <v>2007</v>
      </c>
      <c r="B17">
        <v>1</v>
      </c>
      <c r="C17" s="7">
        <v>30258.615000000002</v>
      </c>
      <c r="D17" s="36">
        <v>8.064518815722484E-3</v>
      </c>
      <c r="E17" s="7">
        <v>7527</v>
      </c>
      <c r="F17" s="7">
        <v>7189.7999999999993</v>
      </c>
      <c r="G17" s="7">
        <v>7527</v>
      </c>
      <c r="H17" s="7">
        <v>239.18966</v>
      </c>
      <c r="I17" s="6">
        <v>48.01492014618379</v>
      </c>
      <c r="J17" s="6">
        <v>3.3025473724874854</v>
      </c>
      <c r="K17" s="7">
        <v>30.258615000000002</v>
      </c>
      <c r="M17" s="7">
        <v>30258.615000000002</v>
      </c>
      <c r="N17" s="19">
        <v>1869.4246981689282</v>
      </c>
      <c r="O17" s="7">
        <v>28389.190301831073</v>
      </c>
    </row>
    <row r="18" spans="1:15" ht="15.5" x14ac:dyDescent="0.35">
      <c r="B18">
        <v>2</v>
      </c>
      <c r="C18" s="7">
        <v>30442.371500000001</v>
      </c>
      <c r="D18" s="36">
        <v>6.0728655293707098E-3</v>
      </c>
      <c r="E18" s="7">
        <v>7533.5</v>
      </c>
      <c r="F18" s="7">
        <v>7347.3499999999995</v>
      </c>
      <c r="G18" s="7">
        <v>7533.5</v>
      </c>
      <c r="H18" s="7">
        <v>239.923666</v>
      </c>
      <c r="I18" s="6">
        <v>48.331127826984392</v>
      </c>
      <c r="J18" s="6">
        <v>3.3025473724874854</v>
      </c>
      <c r="K18" s="7">
        <v>30.4423715</v>
      </c>
      <c r="M18" s="7">
        <v>30442.371500000001</v>
      </c>
      <c r="N18" s="19">
        <v>1586.8778133547435</v>
      </c>
      <c r="O18" s="7">
        <v>28855.493686645259</v>
      </c>
    </row>
    <row r="19" spans="1:15" ht="15.5" x14ac:dyDescent="0.35">
      <c r="A19">
        <v>2008</v>
      </c>
      <c r="B19">
        <v>1</v>
      </c>
      <c r="C19" s="7">
        <v>30626.128000000001</v>
      </c>
      <c r="D19" s="36">
        <v>6.0362084471638324E-3</v>
      </c>
      <c r="E19" s="7">
        <v>7540</v>
      </c>
      <c r="F19" s="7">
        <v>7504.9</v>
      </c>
      <c r="G19" s="7">
        <v>7540</v>
      </c>
      <c r="H19" s="7">
        <v>240.65767199999999</v>
      </c>
      <c r="I19" s="6">
        <v>48.647335507784994</v>
      </c>
      <c r="J19" s="6">
        <v>3.3027637084729817</v>
      </c>
      <c r="K19" s="7">
        <v>30.626128000000001</v>
      </c>
      <c r="M19" s="7">
        <v>30626.128000000001</v>
      </c>
      <c r="N19" s="19">
        <v>1302.4735093055092</v>
      </c>
      <c r="O19" s="7">
        <v>29323.654490694491</v>
      </c>
    </row>
    <row r="20" spans="1:15" ht="15.5" x14ac:dyDescent="0.35">
      <c r="B20">
        <v>2</v>
      </c>
      <c r="C20" s="7">
        <v>30890.952000000001</v>
      </c>
      <c r="D20" s="36">
        <v>8.6469957939182031E-3</v>
      </c>
      <c r="E20" s="7">
        <v>7597.5</v>
      </c>
      <c r="F20" s="7">
        <v>7775.15</v>
      </c>
      <c r="G20" s="7">
        <v>7597.5</v>
      </c>
      <c r="H20" s="7">
        <v>241.39618250000001</v>
      </c>
      <c r="I20" s="6">
        <v>48.96770803139249</v>
      </c>
      <c r="J20" s="6">
        <v>3.3027637084729817</v>
      </c>
      <c r="K20" s="7">
        <v>30.890952000000002</v>
      </c>
      <c r="M20" s="7">
        <v>30890.952000000001</v>
      </c>
      <c r="N20" s="19">
        <v>1708.7444820181345</v>
      </c>
      <c r="O20" s="7">
        <v>29182.207517981868</v>
      </c>
    </row>
    <row r="21" spans="1:15" ht="15.5" x14ac:dyDescent="0.35">
      <c r="A21">
        <v>2009</v>
      </c>
      <c r="B21">
        <v>1</v>
      </c>
      <c r="C21" s="7">
        <v>31155.776000000002</v>
      </c>
      <c r="D21" s="36">
        <v>8.5728662554653712E-3</v>
      </c>
      <c r="E21" s="7">
        <v>7655</v>
      </c>
      <c r="F21" s="7">
        <v>8045.4</v>
      </c>
      <c r="G21" s="7">
        <v>7655</v>
      </c>
      <c r="H21" s="7">
        <v>242.134693</v>
      </c>
      <c r="I21" s="6">
        <v>49.288080554999993</v>
      </c>
      <c r="J21" s="6">
        <v>3.3029799367482493</v>
      </c>
      <c r="K21" s="7">
        <v>31.155776000000003</v>
      </c>
      <c r="M21" s="7">
        <v>31155.776000000002</v>
      </c>
      <c r="N21" s="19">
        <v>2113.1589602751146</v>
      </c>
      <c r="O21" s="7">
        <v>29042.617039724886</v>
      </c>
    </row>
    <row r="22" spans="1:15" ht="15.5" x14ac:dyDescent="0.35">
      <c r="B22">
        <v>2</v>
      </c>
      <c r="C22" s="7">
        <v>31329.039000000001</v>
      </c>
      <c r="D22" s="36">
        <v>5.5611839037486661E-3</v>
      </c>
      <c r="E22" s="7">
        <v>7913</v>
      </c>
      <c r="F22" s="7">
        <v>8216.75</v>
      </c>
      <c r="G22" s="7">
        <v>7913</v>
      </c>
      <c r="H22" s="7">
        <v>242.8777365</v>
      </c>
      <c r="I22" s="6">
        <v>49.612672777499995</v>
      </c>
      <c r="J22" s="6">
        <v>3.3029799367482493</v>
      </c>
      <c r="K22" s="7">
        <v>31.329039000000002</v>
      </c>
      <c r="M22" s="7">
        <v>31329.039000000001</v>
      </c>
      <c r="N22" s="19">
        <v>1682.0234138366236</v>
      </c>
      <c r="O22" s="7">
        <v>29647.015586163376</v>
      </c>
    </row>
    <row r="23" spans="1:15" ht="15.5" x14ac:dyDescent="0.35">
      <c r="A23">
        <v>2010</v>
      </c>
      <c r="B23">
        <v>1</v>
      </c>
      <c r="C23" s="7">
        <v>31502.302</v>
      </c>
      <c r="D23" s="36">
        <v>5.5304281755976939E-3</v>
      </c>
      <c r="E23" s="7">
        <v>8171</v>
      </c>
      <c r="F23" s="7">
        <v>8388.0999999999985</v>
      </c>
      <c r="G23" s="7">
        <v>8171</v>
      </c>
      <c r="H23" s="7">
        <v>243.62078</v>
      </c>
      <c r="I23" s="6">
        <v>49.937264999999996</v>
      </c>
      <c r="J23" s="6">
        <v>3.3031960574204891</v>
      </c>
      <c r="K23" s="7">
        <v>31.502302</v>
      </c>
      <c r="M23" s="7">
        <v>31502.302</v>
      </c>
      <c r="N23" s="19">
        <v>1249.0322968014502</v>
      </c>
      <c r="O23" s="7">
        <v>30253.269703198548</v>
      </c>
    </row>
    <row r="24" spans="1:15" ht="15.5" x14ac:dyDescent="0.35">
      <c r="B24">
        <v>2</v>
      </c>
      <c r="C24" s="7">
        <v>31840.1715</v>
      </c>
      <c r="D24" s="36">
        <v>1.072523207986517E-2</v>
      </c>
      <c r="E24" s="7">
        <v>8230.5</v>
      </c>
      <c r="F24" s="7">
        <v>8541.0499999999993</v>
      </c>
      <c r="G24" s="7">
        <v>8230.5</v>
      </c>
      <c r="H24" s="7">
        <v>244.36838399999999</v>
      </c>
      <c r="I24" s="6">
        <v>50.266132499999998</v>
      </c>
      <c r="J24" s="6">
        <v>3.3031960574204891</v>
      </c>
      <c r="K24" s="7">
        <v>31.8401715</v>
      </c>
      <c r="M24" s="7"/>
      <c r="N24" s="19"/>
      <c r="O24" s="7"/>
    </row>
    <row r="25" spans="1:15" ht="15.5" x14ac:dyDescent="0.35">
      <c r="A25">
        <v>2011</v>
      </c>
      <c r="B25">
        <v>1</v>
      </c>
      <c r="C25" s="7">
        <v>32178.041000000001</v>
      </c>
      <c r="D25" s="36">
        <v>1.0611422114984547E-2</v>
      </c>
      <c r="E25" s="7">
        <v>8290</v>
      </c>
      <c r="F25" s="7">
        <v>8694</v>
      </c>
      <c r="G25" s="7">
        <v>8290</v>
      </c>
      <c r="H25" s="7">
        <v>245.11598799999999</v>
      </c>
      <c r="I25" s="6">
        <v>50.594999999999999</v>
      </c>
      <c r="J25" s="6">
        <v>3.3031960574204891</v>
      </c>
      <c r="K25" s="7">
        <v>32.178041</v>
      </c>
      <c r="M25" s="7"/>
      <c r="N25" s="19"/>
      <c r="O25" s="7"/>
    </row>
    <row r="26" spans="1:15" ht="15.5" x14ac:dyDescent="0.35">
      <c r="B26">
        <v>2</v>
      </c>
      <c r="C26" s="7">
        <v>30802.459000000003</v>
      </c>
      <c r="D26" s="36">
        <v>-4.2749090909542889E-2</v>
      </c>
      <c r="E26" s="7">
        <v>8566.5</v>
      </c>
      <c r="F26" s="7">
        <v>9041.2999999999993</v>
      </c>
      <c r="G26" s="7">
        <v>8566.5</v>
      </c>
      <c r="H26" s="7">
        <v>246.783851</v>
      </c>
      <c r="I26" s="6">
        <v>50.935500000000005</v>
      </c>
      <c r="J26" s="6">
        <v>3.303412070596742</v>
      </c>
      <c r="K26" s="7">
        <v>30.802459000000002</v>
      </c>
      <c r="M26" s="7"/>
      <c r="N26" s="19"/>
      <c r="O26" s="7"/>
    </row>
    <row r="27" spans="1:15" ht="15.5" x14ac:dyDescent="0.35">
      <c r="A27">
        <v>2012</v>
      </c>
      <c r="B27">
        <v>1</v>
      </c>
      <c r="C27" s="7">
        <v>29426.877</v>
      </c>
      <c r="D27" s="36">
        <v>-4.4658187841431815E-2</v>
      </c>
      <c r="E27" s="7">
        <v>8843</v>
      </c>
      <c r="F27" s="7">
        <v>9388.5999999999985</v>
      </c>
      <c r="G27" s="7">
        <v>8843</v>
      </c>
      <c r="H27" s="7">
        <v>248.45171400000001</v>
      </c>
      <c r="I27" s="6">
        <v>51.276000000000003</v>
      </c>
      <c r="J27" s="6">
        <v>3.3036279763838898</v>
      </c>
      <c r="K27" s="7">
        <v>29.426877000000001</v>
      </c>
      <c r="M27" s="7"/>
      <c r="N27" s="19"/>
      <c r="O27" s="7"/>
    </row>
    <row r="28" spans="1:15" ht="15.5" x14ac:dyDescent="0.35">
      <c r="B28">
        <v>2</v>
      </c>
      <c r="C28" s="7">
        <v>30069.7075</v>
      </c>
      <c r="D28" s="36">
        <v>2.1845012639295704E-2</v>
      </c>
      <c r="E28" s="7">
        <v>9117</v>
      </c>
      <c r="F28" s="7">
        <v>10010.75</v>
      </c>
      <c r="G28" s="7">
        <v>9117</v>
      </c>
      <c r="H28" s="7">
        <v>250.128514</v>
      </c>
      <c r="I28" s="6">
        <v>51.615499999999997</v>
      </c>
      <c r="J28" s="6">
        <v>3.3036279763838898</v>
      </c>
      <c r="K28" s="7">
        <v>30.0697075</v>
      </c>
      <c r="M28" s="7"/>
      <c r="N28" s="19"/>
      <c r="O28" s="7"/>
    </row>
    <row r="29" spans="1:15" ht="15.5" x14ac:dyDescent="0.35">
      <c r="A29">
        <v>2013</v>
      </c>
      <c r="B29">
        <v>1</v>
      </c>
      <c r="C29" s="7">
        <v>30712.538</v>
      </c>
      <c r="D29" s="36">
        <v>2.1378009746187254E-2</v>
      </c>
      <c r="E29" s="7">
        <v>9391</v>
      </c>
      <c r="F29" s="7">
        <v>10632.9</v>
      </c>
      <c r="G29" s="7">
        <v>9391</v>
      </c>
      <c r="H29" s="7">
        <v>251.80531400000001</v>
      </c>
      <c r="I29" s="6">
        <v>51.954999999999998</v>
      </c>
      <c r="J29" s="6">
        <v>3.3036279763838898</v>
      </c>
      <c r="K29" s="7">
        <v>30.712538000000002</v>
      </c>
      <c r="M29" s="7"/>
      <c r="N29" s="19"/>
      <c r="O29" s="7"/>
    </row>
    <row r="30" spans="1:15" ht="15.5" x14ac:dyDescent="0.35">
      <c r="B30">
        <v>2</v>
      </c>
      <c r="C30" s="7">
        <v>32077.205000000002</v>
      </c>
      <c r="D30" s="36">
        <v>4.4433546976808014E-2</v>
      </c>
      <c r="E30" s="7">
        <v>9749.5</v>
      </c>
      <c r="F30" s="7">
        <v>10995.15</v>
      </c>
      <c r="G30" s="7">
        <v>9749.5</v>
      </c>
      <c r="H30" s="7">
        <v>253.46669500000002</v>
      </c>
      <c r="I30" s="6">
        <v>52.295000000000002</v>
      </c>
      <c r="J30" s="6">
        <v>3.3038437748886547</v>
      </c>
      <c r="K30" s="7">
        <v>32.077204999999999</v>
      </c>
      <c r="M30" s="7"/>
      <c r="N30" s="19"/>
      <c r="O30" s="7"/>
    </row>
    <row r="31" spans="1:15" ht="15.5" x14ac:dyDescent="0.35">
      <c r="A31">
        <v>2014</v>
      </c>
      <c r="B31">
        <v>1</v>
      </c>
      <c r="C31" s="7">
        <v>33441.872000000003</v>
      </c>
      <c r="D31" s="36">
        <v>4.2543201628695557E-2</v>
      </c>
      <c r="E31" s="7">
        <v>10108</v>
      </c>
      <c r="F31" s="7">
        <v>11357.4</v>
      </c>
      <c r="G31" s="7">
        <v>10108</v>
      </c>
      <c r="H31" s="7">
        <v>255.12807599999999</v>
      </c>
      <c r="I31" s="6">
        <v>52.634999999999998</v>
      </c>
      <c r="J31" s="6">
        <v>3.3038437748886547</v>
      </c>
      <c r="K31" s="7">
        <v>33.441872000000004</v>
      </c>
      <c r="M31" s="7"/>
      <c r="N31" s="19"/>
      <c r="O31" s="7"/>
    </row>
    <row r="32" spans="1:15" ht="15.5" x14ac:dyDescent="0.35">
      <c r="B32">
        <v>2</v>
      </c>
      <c r="C32" s="7">
        <v>34821.548500000004</v>
      </c>
      <c r="D32" s="36">
        <v>4.1255958996553821E-2</v>
      </c>
      <c r="E32" s="7">
        <v>10751.5</v>
      </c>
      <c r="F32" s="7">
        <v>11616.15</v>
      </c>
      <c r="G32" s="7">
        <v>10751.5</v>
      </c>
      <c r="H32" s="7">
        <v>256.75566650000002</v>
      </c>
      <c r="I32" s="6">
        <v>52.974000000000004</v>
      </c>
      <c r="J32" s="6">
        <v>3.3040594662175993</v>
      </c>
      <c r="K32" s="7">
        <v>34.821548500000006</v>
      </c>
      <c r="M32" s="7"/>
      <c r="N32" s="19"/>
      <c r="O32" s="7"/>
    </row>
    <row r="33" spans="1:15" ht="15.5" x14ac:dyDescent="0.35">
      <c r="A33">
        <v>2015</v>
      </c>
      <c r="B33">
        <v>1</v>
      </c>
      <c r="C33" s="7">
        <v>36201.224999999999</v>
      </c>
      <c r="D33" s="36">
        <v>3.9621342514391457E-2</v>
      </c>
      <c r="E33" s="7">
        <v>11395</v>
      </c>
      <c r="F33" s="7">
        <v>11874.9</v>
      </c>
      <c r="G33" s="7">
        <v>11395</v>
      </c>
      <c r="H33" s="7">
        <v>258.38325700000001</v>
      </c>
      <c r="I33" s="6">
        <v>53.313000000000002</v>
      </c>
      <c r="J33" s="6">
        <v>3.3040594662175993</v>
      </c>
      <c r="K33" s="7">
        <v>36.201225000000001</v>
      </c>
      <c r="M33" s="7"/>
      <c r="N33" s="19"/>
      <c r="O33" s="7"/>
    </row>
    <row r="34" spans="1:15" ht="15.5" x14ac:dyDescent="0.35">
      <c r="B34">
        <v>2</v>
      </c>
      <c r="C34" s="7">
        <v>37629.629000000001</v>
      </c>
      <c r="D34" s="36">
        <v>3.9457338805523913E-2</v>
      </c>
      <c r="E34" s="7">
        <v>11728</v>
      </c>
      <c r="F34" s="7">
        <v>12061.199999999999</v>
      </c>
      <c r="G34" s="7">
        <v>11728</v>
      </c>
      <c r="H34" s="7">
        <v>259.96982149999997</v>
      </c>
      <c r="I34" s="6">
        <v>53.650999999999996</v>
      </c>
      <c r="J34" s="6">
        <v>3.3042750504771283</v>
      </c>
      <c r="K34" s="7">
        <v>37.629629000000001</v>
      </c>
      <c r="M34" s="7"/>
      <c r="N34" s="19"/>
      <c r="O34" s="7"/>
    </row>
    <row r="35" spans="1:15" ht="15.5" x14ac:dyDescent="0.35">
      <c r="A35">
        <v>2016</v>
      </c>
      <c r="B35">
        <v>1</v>
      </c>
      <c r="C35" s="7">
        <v>39058.033000000003</v>
      </c>
      <c r="D35" s="36">
        <v>3.7959555753260342E-2</v>
      </c>
      <c r="E35" s="7">
        <v>12061</v>
      </c>
      <c r="F35" s="7">
        <v>12247.499999999998</v>
      </c>
      <c r="G35" s="7">
        <v>12061</v>
      </c>
      <c r="H35" s="7">
        <v>261.55638599999997</v>
      </c>
      <c r="I35" s="6">
        <v>53.988999999999997</v>
      </c>
      <c r="J35" s="6">
        <v>3.3042750504771283</v>
      </c>
      <c r="K35" s="7">
        <v>39.058033000000002</v>
      </c>
      <c r="M35" s="7"/>
      <c r="N35" s="19"/>
      <c r="O35" s="7"/>
    </row>
    <row r="36" spans="1:15" ht="15.5" x14ac:dyDescent="0.35">
      <c r="B36">
        <v>2</v>
      </c>
      <c r="C36" s="7">
        <v>43875.9565</v>
      </c>
      <c r="D36" s="36">
        <v>0.12335294765099913</v>
      </c>
      <c r="E36" s="7">
        <v>12123</v>
      </c>
      <c r="F36" s="7">
        <v>12965.099999999999</v>
      </c>
      <c r="G36" s="7">
        <v>12123</v>
      </c>
      <c r="H36" s="7">
        <v>263.1036775</v>
      </c>
      <c r="I36" s="6">
        <v>54.323999999999998</v>
      </c>
      <c r="J36" s="6">
        <v>3.3044905277734875</v>
      </c>
      <c r="K36" s="7">
        <v>43.875956500000001</v>
      </c>
      <c r="M36" s="7"/>
      <c r="N36" s="19"/>
      <c r="O36" s="7"/>
    </row>
    <row r="37" spans="1:15" ht="15.5" x14ac:dyDescent="0.35">
      <c r="A37">
        <v>2017</v>
      </c>
      <c r="B37">
        <v>1</v>
      </c>
      <c r="C37" s="7">
        <v>48693.88</v>
      </c>
      <c r="D37" s="36">
        <v>0.10980782834899558</v>
      </c>
      <c r="E37" s="7">
        <v>12185</v>
      </c>
      <c r="F37" s="7">
        <v>13682.699999999999</v>
      </c>
      <c r="G37" s="7">
        <v>12185</v>
      </c>
      <c r="H37" s="7">
        <v>264.65096899999998</v>
      </c>
      <c r="I37" s="6">
        <v>54.658999999999999</v>
      </c>
      <c r="J37" s="6">
        <v>3.3044905277734875</v>
      </c>
      <c r="K37" s="7">
        <v>48.69388</v>
      </c>
      <c r="M37" s="7"/>
      <c r="N37" s="19"/>
      <c r="O37" s="7"/>
    </row>
    <row r="38" spans="1:15" ht="15.5" x14ac:dyDescent="0.35">
      <c r="B38">
        <v>2</v>
      </c>
      <c r="C38" s="7">
        <v>51786.388500000001</v>
      </c>
      <c r="D38" s="36">
        <v>6.3509182262740285E-2</v>
      </c>
      <c r="E38" s="7">
        <v>12494.5</v>
      </c>
      <c r="F38" s="7">
        <v>13353.8</v>
      </c>
      <c r="G38" s="7">
        <v>12494.5</v>
      </c>
      <c r="H38" s="7">
        <v>266.16075899999998</v>
      </c>
      <c r="I38" s="6">
        <v>54.992000000000004</v>
      </c>
      <c r="J38" s="6">
        <v>3.3047058982127653</v>
      </c>
      <c r="K38" s="7">
        <v>51.786388500000001</v>
      </c>
      <c r="M38" s="7"/>
      <c r="N38" s="19"/>
      <c r="O38" s="7"/>
    </row>
    <row r="39" spans="1:15" ht="15.5" x14ac:dyDescent="0.35">
      <c r="A39">
        <v>2018</v>
      </c>
      <c r="B39">
        <v>1</v>
      </c>
      <c r="C39" s="7">
        <v>54878.896999999997</v>
      </c>
      <c r="D39" s="36">
        <v>5.9716628047928003E-2</v>
      </c>
      <c r="E39" s="7">
        <v>12804</v>
      </c>
      <c r="F39" s="7">
        <v>13024.9</v>
      </c>
      <c r="G39" s="7">
        <v>12804</v>
      </c>
      <c r="H39" s="7">
        <v>267.67054899999999</v>
      </c>
      <c r="I39" s="6">
        <v>55.325000000000003</v>
      </c>
      <c r="J39" s="6">
        <v>3.3047058982127653</v>
      </c>
      <c r="K39" s="7">
        <v>54.878896999999995</v>
      </c>
      <c r="M39" s="7"/>
      <c r="N39" s="19"/>
      <c r="O39" s="7"/>
    </row>
    <row r="40" spans="1:15" ht="15.5" x14ac:dyDescent="0.35">
      <c r="B40">
        <v>2</v>
      </c>
      <c r="C40" s="7">
        <v>51847.452499999999</v>
      </c>
      <c r="D40" s="36">
        <v>-5.5238801537866151E-2</v>
      </c>
      <c r="E40" s="7">
        <v>12847.5</v>
      </c>
      <c r="F40" s="7">
        <v>13070.9</v>
      </c>
      <c r="G40" s="7">
        <v>12847.5</v>
      </c>
      <c r="H40" s="7">
        <v>269.14805799999999</v>
      </c>
      <c r="I40" s="6">
        <v>55.655000000000001</v>
      </c>
      <c r="J40" s="6">
        <v>3.3049211619008916</v>
      </c>
      <c r="K40" s="7">
        <v>51.847452500000003</v>
      </c>
      <c r="M40" s="7"/>
      <c r="N40" s="19"/>
      <c r="O40" s="7"/>
    </row>
    <row r="41" spans="1:15" ht="15.5" x14ac:dyDescent="0.35">
      <c r="A41">
        <v>2019</v>
      </c>
      <c r="B41">
        <v>1</v>
      </c>
      <c r="C41" s="7">
        <v>48816.008000000002</v>
      </c>
      <c r="D41" s="36">
        <v>-5.846853324182124E-2</v>
      </c>
      <c r="E41" s="7">
        <v>12891</v>
      </c>
      <c r="F41" s="7">
        <v>13116.9</v>
      </c>
      <c r="G41" s="7">
        <v>12891</v>
      </c>
      <c r="H41" s="7">
        <v>270.62556699999999</v>
      </c>
      <c r="I41" s="6">
        <v>55.984999999999999</v>
      </c>
      <c r="J41" s="6">
        <v>3.3049211619008916</v>
      </c>
      <c r="K41" s="7">
        <v>48.816008000000004</v>
      </c>
      <c r="M41" s="7"/>
      <c r="N41" s="19"/>
      <c r="O41" s="7"/>
    </row>
    <row r="42" spans="1:15" ht="15.5" x14ac:dyDescent="0.35">
      <c r="B42">
        <v>2</v>
      </c>
      <c r="C42" s="7">
        <v>42934.085500000001</v>
      </c>
      <c r="D42" s="36">
        <v>-0.1204916735510204</v>
      </c>
      <c r="E42" s="7">
        <v>13013.5</v>
      </c>
      <c r="F42" s="7">
        <v>12755.8</v>
      </c>
      <c r="G42" s="7">
        <v>13013.5</v>
      </c>
      <c r="H42" s="7">
        <v>272.07459399999999</v>
      </c>
      <c r="I42" s="6">
        <v>56.313000000000002</v>
      </c>
      <c r="J42" s="6">
        <v>3.3051363189436391</v>
      </c>
      <c r="K42" s="7">
        <v>42.934085500000002</v>
      </c>
      <c r="M42" s="7"/>
      <c r="N42" s="19"/>
      <c r="O42" s="7"/>
    </row>
    <row r="43" spans="1:15" ht="15.5" x14ac:dyDescent="0.35">
      <c r="A43">
        <v>2020</v>
      </c>
      <c r="B43">
        <v>1</v>
      </c>
      <c r="C43" s="7">
        <v>37052.163</v>
      </c>
      <c r="D43" s="36">
        <v>-0.13699890032594267</v>
      </c>
      <c r="E43" s="7">
        <v>13136</v>
      </c>
      <c r="F43" s="7">
        <v>12394.699999999999</v>
      </c>
      <c r="G43" s="7">
        <v>13136</v>
      </c>
      <c r="H43" s="7">
        <v>273.52362099999999</v>
      </c>
      <c r="I43" s="6">
        <v>56.640999999999998</v>
      </c>
      <c r="J43" s="6">
        <v>3.3051363189436391</v>
      </c>
      <c r="K43" s="7">
        <v>37.052163</v>
      </c>
      <c r="M43" s="7"/>
      <c r="N43" s="19"/>
      <c r="O43" s="7"/>
    </row>
    <row r="44" spans="1:15" ht="15.5" x14ac:dyDescent="0.35">
      <c r="B44">
        <v>2</v>
      </c>
      <c r="C44" s="7">
        <v>39993.124250000001</v>
      </c>
      <c r="D44" s="36">
        <v>7.9373537517904158E-2</v>
      </c>
      <c r="E44" s="7">
        <v>13074.75</v>
      </c>
      <c r="F44" s="7">
        <v>12575.25</v>
      </c>
      <c r="G44" s="7">
        <v>13074.75</v>
      </c>
      <c r="H44" s="7">
        <v>272.79910749999999</v>
      </c>
      <c r="I44" s="6">
        <v>56.477000000000004</v>
      </c>
      <c r="J44" s="6">
        <v>3.3053513694466239</v>
      </c>
      <c r="K44" s="7">
        <v>39.993124250000001</v>
      </c>
      <c r="M44" s="7"/>
      <c r="N44" s="19"/>
      <c r="O44" s="7"/>
    </row>
    <row r="45" spans="1:15" ht="15.5" x14ac:dyDescent="0.35">
      <c r="A45">
        <v>2021</v>
      </c>
      <c r="B45">
        <v>1</v>
      </c>
      <c r="C45" s="7">
        <v>44703.189894889598</v>
      </c>
      <c r="D45" s="36">
        <v>0.1177718853732613</v>
      </c>
      <c r="E45" s="7">
        <v>12928.1759581882</v>
      </c>
      <c r="F45" s="7">
        <v>14135.361904761899</v>
      </c>
      <c r="G45" s="7">
        <v>12928.1759581882</v>
      </c>
      <c r="H45" s="7">
        <v>271.92231667595797</v>
      </c>
      <c r="I45" s="6">
        <v>57.143454874941199</v>
      </c>
      <c r="J45" s="6">
        <v>3.3055663135153042</v>
      </c>
      <c r="K45" s="7">
        <v>44.703189894889597</v>
      </c>
      <c r="M45" s="7"/>
      <c r="N45" s="19"/>
      <c r="O45" s="7"/>
    </row>
    <row r="46" spans="1:15" ht="15.5" x14ac:dyDescent="0.35">
      <c r="B46">
        <v>2</v>
      </c>
      <c r="C46" s="7">
        <v>45192.185768461502</v>
      </c>
      <c r="D46" s="36">
        <v>1.0938724389057658E-2</v>
      </c>
      <c r="E46" s="7">
        <v>13099.277996110501</v>
      </c>
      <c r="F46" s="7">
        <v>14374.256256921301</v>
      </c>
      <c r="G46" s="7">
        <v>13099.277996110501</v>
      </c>
      <c r="H46" s="7">
        <v>273.03672956454102</v>
      </c>
      <c r="I46" s="6">
        <v>57.465830659009796</v>
      </c>
      <c r="J46" s="6">
        <v>3.3055663135153042</v>
      </c>
      <c r="K46" s="7">
        <v>45.192185768461499</v>
      </c>
      <c r="M46" s="7"/>
      <c r="N46" s="19"/>
      <c r="O46" s="7"/>
    </row>
    <row r="47" spans="1:15" ht="15.5" x14ac:dyDescent="0.35">
      <c r="A47">
        <v>2022</v>
      </c>
      <c r="B47">
        <v>1</v>
      </c>
      <c r="C47" s="7">
        <v>45681.181642033298</v>
      </c>
      <c r="D47" s="36">
        <v>1.0820363415859685E-2</v>
      </c>
      <c r="E47" s="7">
        <v>13270.3800340329</v>
      </c>
      <c r="F47" s="7">
        <v>14613.1506090808</v>
      </c>
      <c r="G47" s="7">
        <v>13270.3800340329</v>
      </c>
      <c r="H47" s="7">
        <v>274.15114245312401</v>
      </c>
      <c r="I47" s="6">
        <v>57.788206443078401</v>
      </c>
      <c r="J47" s="6">
        <v>3.3057811512549824</v>
      </c>
      <c r="K47" s="7">
        <v>45.681181642033295</v>
      </c>
      <c r="M47" s="7"/>
      <c r="N47" s="19"/>
      <c r="O47" s="7"/>
    </row>
    <row r="48" spans="1:15" ht="15.5" x14ac:dyDescent="0.35">
      <c r="B48">
        <v>2</v>
      </c>
      <c r="C48" s="7">
        <v>46170.177515605101</v>
      </c>
      <c r="D48" s="36">
        <v>1.0704536441365953E-2</v>
      </c>
      <c r="E48" s="7">
        <v>13441.482071955301</v>
      </c>
      <c r="F48" s="7">
        <v>14852.044961240301</v>
      </c>
      <c r="G48" s="7">
        <v>13441.482071955301</v>
      </c>
      <c r="H48" s="7">
        <v>275.265555341707</v>
      </c>
      <c r="I48" s="6">
        <v>58.110582227146999</v>
      </c>
      <c r="J48" s="6">
        <v>3.3057811512549824</v>
      </c>
      <c r="K48" s="7">
        <v>46.170177515605104</v>
      </c>
      <c r="M48" s="7"/>
      <c r="N48" s="19"/>
      <c r="O48" s="7"/>
    </row>
    <row r="49" spans="1:16" ht="15.5" x14ac:dyDescent="0.35">
      <c r="A49" s="37">
        <v>2023</v>
      </c>
      <c r="B49" s="37"/>
      <c r="C49" s="7">
        <v>46659.173389176998</v>
      </c>
      <c r="D49" s="36">
        <v>1.0591162951596216E-2</v>
      </c>
      <c r="E49" s="7"/>
      <c r="F49" s="7"/>
      <c r="G49" s="7"/>
      <c r="H49" s="7"/>
      <c r="I49" s="7"/>
      <c r="J49" s="6"/>
      <c r="K49" s="7"/>
      <c r="M49" s="7"/>
      <c r="N49" s="19"/>
      <c r="O49" s="7"/>
    </row>
    <row r="50" spans="1:16" x14ac:dyDescent="0.35">
      <c r="A50" s="37">
        <v>2024</v>
      </c>
      <c r="B50" s="37"/>
      <c r="C50" s="7">
        <v>47148.169262748903</v>
      </c>
      <c r="D50" s="36">
        <v>1.0480165807766572E-2</v>
      </c>
      <c r="N50" t="s">
        <v>315</v>
      </c>
      <c r="O50" s="7">
        <v>579513.52326329518</v>
      </c>
    </row>
    <row r="51" spans="1:16" x14ac:dyDescent="0.35">
      <c r="A51" s="37">
        <v>2025</v>
      </c>
      <c r="B51" s="37"/>
      <c r="C51" s="7">
        <v>47637.165136320698</v>
      </c>
      <c r="D51" s="36">
        <v>1.0371471071266901E-2</v>
      </c>
      <c r="N51" t="s">
        <v>316</v>
      </c>
      <c r="O51" s="7">
        <v>27595.882060156913</v>
      </c>
      <c r="P51">
        <v>27595.882060156913</v>
      </c>
    </row>
    <row r="52" spans="1:16" x14ac:dyDescent="0.35">
      <c r="A52" s="37">
        <v>2026</v>
      </c>
      <c r="B52" s="37"/>
      <c r="C52" s="7">
        <v>48126.161009892501</v>
      </c>
      <c r="D52" s="36">
        <v>1.0265007839414243E-2</v>
      </c>
      <c r="G52" t="s">
        <v>310</v>
      </c>
      <c r="N52" t="s">
        <v>331</v>
      </c>
      <c r="O52">
        <v>166.1200832535215</v>
      </c>
    </row>
    <row r="53" spans="1:16" ht="15.5" x14ac:dyDescent="0.35">
      <c r="A53" s="37">
        <v>2027</v>
      </c>
      <c r="B53" s="37"/>
      <c r="C53" s="7">
        <v>48615.156883464399</v>
      </c>
      <c r="D53" s="36">
        <v>1.0160708091205999E-2</v>
      </c>
      <c r="G53" s="19" t="s">
        <v>96</v>
      </c>
      <c r="H53">
        <v>-1.1569339999999999</v>
      </c>
    </row>
    <row r="54" spans="1:16" ht="15.5" x14ac:dyDescent="0.35">
      <c r="A54" s="37"/>
      <c r="B54" s="37"/>
      <c r="C54" s="7"/>
      <c r="D54" s="16">
        <v>1.2674300111282542E-2</v>
      </c>
      <c r="G54" s="19" t="s">
        <v>172</v>
      </c>
      <c r="H54">
        <v>6.6297410000000001</v>
      </c>
    </row>
    <row r="55" spans="1:16" ht="15.5" x14ac:dyDescent="0.35">
      <c r="A55" s="37"/>
      <c r="B55" s="37"/>
      <c r="C55" s="7"/>
      <c r="D55" s="36"/>
      <c r="G55" s="19" t="s">
        <v>98</v>
      </c>
      <c r="H55">
        <v>0.33418599999999998</v>
      </c>
    </row>
    <row r="56" spans="1:16" ht="15.5" x14ac:dyDescent="0.35">
      <c r="A56" s="37"/>
      <c r="B56" s="37"/>
      <c r="C56" s="7"/>
      <c r="D56" s="36"/>
      <c r="G56" s="19" t="s">
        <v>99</v>
      </c>
      <c r="H56">
        <v>-182.50630000000001</v>
      </c>
    </row>
    <row r="57" spans="1:16" ht="15.5" x14ac:dyDescent="0.35">
      <c r="A57" s="37"/>
      <c r="B57" s="37"/>
      <c r="C57" s="7"/>
      <c r="D57" s="36"/>
      <c r="G57" s="19" t="s">
        <v>100</v>
      </c>
      <c r="H57">
        <v>-3756.7820000000002</v>
      </c>
    </row>
    <row r="58" spans="1:16" ht="15.5" x14ac:dyDescent="0.35">
      <c r="A58" s="37"/>
      <c r="B58" s="37"/>
      <c r="C58" s="7"/>
      <c r="D58" s="36"/>
      <c r="G58" s="19" t="s">
        <v>101</v>
      </c>
      <c r="H58">
        <v>-8585.8080000000009</v>
      </c>
    </row>
    <row r="59" spans="1:16" ht="15.5" x14ac:dyDescent="0.35">
      <c r="G59" s="19" t="s">
        <v>102</v>
      </c>
      <c r="H59">
        <v>0.92146600000000001</v>
      </c>
    </row>
    <row r="61" spans="1:16" ht="15.5" x14ac:dyDescent="0.35">
      <c r="G61" s="19" t="s">
        <v>326</v>
      </c>
      <c r="H61">
        <v>212758.1</v>
      </c>
    </row>
    <row r="104" spans="3:3" x14ac:dyDescent="0.35">
      <c r="C104" s="7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5583-4A70-4073-BC0A-D78257D09D3F}">
  <dimension ref="A1:C52"/>
  <sheetViews>
    <sheetView topLeftCell="A17" workbookViewId="0">
      <selection activeCell="D54" sqref="D54"/>
    </sheetView>
  </sheetViews>
  <sheetFormatPr defaultRowHeight="14.5" x14ac:dyDescent="0.35"/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 s="7">
        <f>'Persamaan 5'!C3</f>
        <v>27275.254000000001</v>
      </c>
      <c r="C2">
        <f>'Persamaan 5'!N3</f>
        <v>1018.106081493743</v>
      </c>
    </row>
    <row r="3" spans="1:3" x14ac:dyDescent="0.35">
      <c r="A3">
        <v>2000</v>
      </c>
      <c r="B3" s="7">
        <f>'Persamaan 5'!C4</f>
        <v>27553.573</v>
      </c>
      <c r="C3">
        <f>'Persamaan 5'!N4</f>
        <v>1205.0843483969172</v>
      </c>
    </row>
    <row r="4" spans="1:3" x14ac:dyDescent="0.35">
      <c r="A4">
        <v>2001</v>
      </c>
      <c r="B4" s="7">
        <f>'Persamaan 5'!C5</f>
        <v>27831.892</v>
      </c>
      <c r="C4">
        <f>'Persamaan 5'!N5</f>
        <v>1390.1986967224029</v>
      </c>
    </row>
    <row r="5" spans="1:3" x14ac:dyDescent="0.35">
      <c r="A5">
        <v>2001</v>
      </c>
      <c r="B5" s="7">
        <f>'Persamaan 5'!C6</f>
        <v>28058.1675</v>
      </c>
      <c r="C5">
        <f>'Persamaan 5'!N6</f>
        <v>1191.0834950343269</v>
      </c>
    </row>
    <row r="6" spans="1:3" x14ac:dyDescent="0.35">
      <c r="A6">
        <v>2002</v>
      </c>
      <c r="B6" s="7">
        <f>'Persamaan 5'!C7</f>
        <v>28284.442999999999</v>
      </c>
      <c r="C6">
        <f>'Persamaan 5'!N7</f>
        <v>990.10530602950246</v>
      </c>
    </row>
    <row r="7" spans="1:3" x14ac:dyDescent="0.35">
      <c r="A7">
        <v>2002</v>
      </c>
      <c r="B7" s="7">
        <f>'Persamaan 5'!C8</f>
        <v>28441.737999999998</v>
      </c>
      <c r="C7">
        <f>'Persamaan 5'!N8</f>
        <v>2029.8231642057888</v>
      </c>
    </row>
    <row r="8" spans="1:3" x14ac:dyDescent="0.35">
      <c r="A8">
        <v>2003</v>
      </c>
      <c r="B8" s="7">
        <f>'Persamaan 5'!C9</f>
        <v>28599.032999999999</v>
      </c>
      <c r="C8">
        <f>'Persamaan 5'!N9</f>
        <v>3067.67896539605</v>
      </c>
    </row>
    <row r="9" spans="1:3" x14ac:dyDescent="0.35">
      <c r="A9">
        <v>2003</v>
      </c>
      <c r="B9" s="7">
        <f>'Persamaan 5'!C10</f>
        <v>28802.068500000001</v>
      </c>
      <c r="C9">
        <f>'Persamaan 5'!N10</f>
        <v>3499.9034496945233</v>
      </c>
    </row>
    <row r="10" spans="1:3" x14ac:dyDescent="0.35">
      <c r="A10">
        <v>2004</v>
      </c>
      <c r="B10" s="7">
        <f>'Persamaan 5'!C11</f>
        <v>29005.103999999999</v>
      </c>
      <c r="C10">
        <f>'Persamaan 5'!N11</f>
        <v>3930.2668064089371</v>
      </c>
    </row>
    <row r="11" spans="1:3" x14ac:dyDescent="0.35">
      <c r="A11">
        <v>2004</v>
      </c>
      <c r="B11" s="7">
        <f>'Persamaan 5'!C12</f>
        <v>29151.594499999999</v>
      </c>
      <c r="C11">
        <f>'Persamaan 5'!N12</f>
        <v>3102.8092032597119</v>
      </c>
    </row>
    <row r="12" spans="1:3" x14ac:dyDescent="0.35">
      <c r="A12">
        <v>2005</v>
      </c>
      <c r="B12" s="7">
        <f>'Persamaan 5'!C13</f>
        <v>29298.084999999999</v>
      </c>
      <c r="C12">
        <f>'Persamaan 5'!N13</f>
        <v>2273.4914010012467</v>
      </c>
    </row>
    <row r="13" spans="1:3" x14ac:dyDescent="0.35">
      <c r="A13">
        <v>2005</v>
      </c>
      <c r="B13" s="7">
        <f>'Persamaan 5'!C14</f>
        <v>29536.280999999999</v>
      </c>
      <c r="C13">
        <f>'Persamaan 5'!N14</f>
        <v>1396.7537831477839</v>
      </c>
    </row>
    <row r="14" spans="1:3" x14ac:dyDescent="0.35">
      <c r="A14">
        <v>2006</v>
      </c>
      <c r="B14" s="7">
        <f>'Persamaan 5'!C15</f>
        <v>29774.476999999999</v>
      </c>
      <c r="C14">
        <f>'Persamaan 5'!N15</f>
        <v>518.15689373385703</v>
      </c>
    </row>
    <row r="15" spans="1:3" x14ac:dyDescent="0.35">
      <c r="A15">
        <v>2006</v>
      </c>
      <c r="B15" s="7">
        <f>'Persamaan 5'!C16</f>
        <v>30016.546000000002</v>
      </c>
      <c r="C15">
        <f>'Persamaan 5'!N16</f>
        <v>1194.7199684194077</v>
      </c>
    </row>
    <row r="16" spans="1:3" x14ac:dyDescent="0.35">
      <c r="A16">
        <v>2007</v>
      </c>
      <c r="B16" s="7">
        <f>'Persamaan 5'!C17</f>
        <v>30258.615000000002</v>
      </c>
      <c r="C16">
        <f>'Persamaan 5'!N17</f>
        <v>1869.4246981689282</v>
      </c>
    </row>
    <row r="17" spans="1:3" x14ac:dyDescent="0.35">
      <c r="A17">
        <v>2007</v>
      </c>
      <c r="B17" s="7">
        <f>'Persamaan 5'!C18</f>
        <v>30442.371500000001</v>
      </c>
      <c r="C17">
        <f>'Persamaan 5'!N18</f>
        <v>1586.8778133547435</v>
      </c>
    </row>
    <row r="18" spans="1:3" x14ac:dyDescent="0.35">
      <c r="A18">
        <v>2008</v>
      </c>
      <c r="B18" s="7">
        <f>'Persamaan 5'!C19</f>
        <v>30626.128000000001</v>
      </c>
      <c r="C18">
        <f>'Persamaan 5'!N19</f>
        <v>1302.4735093055092</v>
      </c>
    </row>
    <row r="19" spans="1:3" x14ac:dyDescent="0.35">
      <c r="A19">
        <v>2008</v>
      </c>
      <c r="B19" s="7">
        <f>'Persamaan 5'!C20</f>
        <v>30890.952000000001</v>
      </c>
      <c r="C19">
        <f>'Persamaan 5'!N20</f>
        <v>1708.7444820181345</v>
      </c>
    </row>
    <row r="20" spans="1:3" x14ac:dyDescent="0.35">
      <c r="A20">
        <v>2009</v>
      </c>
      <c r="B20" s="7">
        <f>'Persamaan 5'!C21</f>
        <v>31155.776000000002</v>
      </c>
      <c r="C20">
        <f>'Persamaan 5'!N21</f>
        <v>2113.1589602751146</v>
      </c>
    </row>
    <row r="21" spans="1:3" x14ac:dyDescent="0.35">
      <c r="A21">
        <v>2009</v>
      </c>
      <c r="B21" s="7">
        <f>'Persamaan 5'!C22</f>
        <v>31329.039000000001</v>
      </c>
      <c r="C21">
        <f>'Persamaan 5'!N22</f>
        <v>1682.0234138366236</v>
      </c>
    </row>
    <row r="22" spans="1:3" x14ac:dyDescent="0.35">
      <c r="A22">
        <v>2010</v>
      </c>
      <c r="B22" s="7">
        <f>'Persamaan 5'!C23</f>
        <v>31502.302</v>
      </c>
      <c r="C22">
        <f>'Persamaan 5'!N23</f>
        <v>1249.0322968014502</v>
      </c>
    </row>
    <row r="23" spans="1:3" x14ac:dyDescent="0.35">
      <c r="A23">
        <v>2010</v>
      </c>
      <c r="B23" s="7">
        <f>'Persamaan 5'!C24</f>
        <v>31840.1715</v>
      </c>
    </row>
    <row r="24" spans="1:3" x14ac:dyDescent="0.35">
      <c r="A24">
        <v>2011</v>
      </c>
      <c r="B24" s="7">
        <f>'Persamaan 5'!C25</f>
        <v>32178.041000000001</v>
      </c>
    </row>
    <row r="25" spans="1:3" x14ac:dyDescent="0.35">
      <c r="A25">
        <v>2011</v>
      </c>
      <c r="B25" s="7">
        <f>'Persamaan 5'!C26</f>
        <v>30802.459000000003</v>
      </c>
    </row>
    <row r="26" spans="1:3" x14ac:dyDescent="0.35">
      <c r="A26">
        <v>2012</v>
      </c>
      <c r="B26" s="7">
        <f>'Persamaan 5'!C27</f>
        <v>29426.877</v>
      </c>
    </row>
    <row r="27" spans="1:3" x14ac:dyDescent="0.35">
      <c r="A27">
        <v>2012</v>
      </c>
      <c r="B27" s="7">
        <f>'Persamaan 5'!C28</f>
        <v>30069.7075</v>
      </c>
    </row>
    <row r="28" spans="1:3" x14ac:dyDescent="0.35">
      <c r="A28">
        <v>2013</v>
      </c>
      <c r="B28" s="7">
        <f>'Persamaan 5'!C29</f>
        <v>30712.538</v>
      </c>
    </row>
    <row r="29" spans="1:3" x14ac:dyDescent="0.35">
      <c r="A29">
        <v>2013</v>
      </c>
      <c r="B29" s="7">
        <f>'Persamaan 5'!C30</f>
        <v>32077.205000000002</v>
      </c>
    </row>
    <row r="30" spans="1:3" x14ac:dyDescent="0.35">
      <c r="A30">
        <v>2014</v>
      </c>
      <c r="B30" s="7">
        <f>'Persamaan 5'!C31</f>
        <v>33441.872000000003</v>
      </c>
    </row>
    <row r="31" spans="1:3" x14ac:dyDescent="0.35">
      <c r="A31">
        <v>2014</v>
      </c>
      <c r="B31" s="7">
        <f>'Persamaan 5'!C32</f>
        <v>34821.548500000004</v>
      </c>
    </row>
    <row r="32" spans="1:3" x14ac:dyDescent="0.35">
      <c r="A32">
        <v>2015</v>
      </c>
      <c r="B32" s="7">
        <f>'Persamaan 5'!C33</f>
        <v>36201.224999999999</v>
      </c>
    </row>
    <row r="33" spans="1:2" x14ac:dyDescent="0.35">
      <c r="A33">
        <v>2015</v>
      </c>
      <c r="B33" s="7">
        <f>'Persamaan 5'!C34</f>
        <v>37629.629000000001</v>
      </c>
    </row>
    <row r="34" spans="1:2" x14ac:dyDescent="0.35">
      <c r="A34">
        <v>2016</v>
      </c>
      <c r="B34" s="7">
        <f>'Persamaan 5'!C35</f>
        <v>39058.033000000003</v>
      </c>
    </row>
    <row r="35" spans="1:2" x14ac:dyDescent="0.35">
      <c r="A35">
        <v>2016</v>
      </c>
      <c r="B35" s="7">
        <f>'Persamaan 5'!C36</f>
        <v>43875.9565</v>
      </c>
    </row>
    <row r="36" spans="1:2" x14ac:dyDescent="0.35">
      <c r="A36">
        <v>2017</v>
      </c>
      <c r="B36" s="7">
        <f>'Persamaan 5'!C37</f>
        <v>48693.88</v>
      </c>
    </row>
    <row r="37" spans="1:2" x14ac:dyDescent="0.35">
      <c r="A37">
        <v>2017</v>
      </c>
      <c r="B37" s="7">
        <f>'Persamaan 5'!C38</f>
        <v>51786.388500000001</v>
      </c>
    </row>
    <row r="38" spans="1:2" x14ac:dyDescent="0.35">
      <c r="A38">
        <v>2018</v>
      </c>
      <c r="B38" s="7">
        <f>'Persamaan 5'!C39</f>
        <v>54878.896999999997</v>
      </c>
    </row>
    <row r="39" spans="1:2" x14ac:dyDescent="0.35">
      <c r="A39">
        <v>2018</v>
      </c>
      <c r="B39" s="7">
        <f>'Persamaan 5'!C40</f>
        <v>51847.452499999999</v>
      </c>
    </row>
    <row r="40" spans="1:2" x14ac:dyDescent="0.35">
      <c r="A40">
        <v>2019</v>
      </c>
      <c r="B40" s="7">
        <f>'Persamaan 5'!C41</f>
        <v>48816.008000000002</v>
      </c>
    </row>
    <row r="41" spans="1:2" x14ac:dyDescent="0.35">
      <c r="A41">
        <v>2019</v>
      </c>
      <c r="B41" s="7">
        <f>'Persamaan 5'!C42</f>
        <v>42934.085500000001</v>
      </c>
    </row>
    <row r="42" spans="1:2" x14ac:dyDescent="0.35">
      <c r="A42">
        <v>2020</v>
      </c>
      <c r="B42" s="7">
        <f>'Persamaan 5'!C43</f>
        <v>37052.163</v>
      </c>
    </row>
    <row r="43" spans="1:2" x14ac:dyDescent="0.35">
      <c r="A43">
        <v>2020</v>
      </c>
      <c r="B43" s="7">
        <f>'Persamaan 5'!C44</f>
        <v>39993.124250000001</v>
      </c>
    </row>
    <row r="44" spans="1:2" x14ac:dyDescent="0.35">
      <c r="A44">
        <v>2021</v>
      </c>
      <c r="B44" s="7">
        <f>'Persamaan 5'!C45</f>
        <v>44703.189894889598</v>
      </c>
    </row>
    <row r="45" spans="1:2" x14ac:dyDescent="0.35">
      <c r="A45">
        <v>2021</v>
      </c>
      <c r="B45" s="7">
        <f>'Persamaan 5'!C46</f>
        <v>45192.185768461502</v>
      </c>
    </row>
    <row r="46" spans="1:2" x14ac:dyDescent="0.35">
      <c r="A46">
        <v>2022</v>
      </c>
      <c r="B46" s="7">
        <f>'Persamaan 5'!C47</f>
        <v>45681.181642033298</v>
      </c>
    </row>
    <row r="47" spans="1:2" x14ac:dyDescent="0.35">
      <c r="A47">
        <v>2022</v>
      </c>
      <c r="B47" s="7">
        <f>'Persamaan 5'!C48</f>
        <v>46170.177515605101</v>
      </c>
    </row>
    <row r="48" spans="1:2" x14ac:dyDescent="0.35">
      <c r="A48">
        <v>2023</v>
      </c>
      <c r="B48" s="7">
        <f>'Persamaan 5'!C49</f>
        <v>46659.173389176998</v>
      </c>
    </row>
    <row r="49" spans="1:2" x14ac:dyDescent="0.35">
      <c r="A49">
        <v>2024</v>
      </c>
      <c r="B49" s="7">
        <f>'Persamaan 5'!C50</f>
        <v>47148.169262748903</v>
      </c>
    </row>
    <row r="50" spans="1:2" x14ac:dyDescent="0.35">
      <c r="A50">
        <v>2025</v>
      </c>
      <c r="B50" s="7">
        <f>'Persamaan 5'!C51</f>
        <v>47637.165136320698</v>
      </c>
    </row>
    <row r="51" spans="1:2" x14ac:dyDescent="0.35">
      <c r="A51">
        <v>2026</v>
      </c>
      <c r="B51" s="7">
        <f>'Persamaan 5'!C52</f>
        <v>48126.161009892501</v>
      </c>
    </row>
    <row r="52" spans="1:2" x14ac:dyDescent="0.35">
      <c r="A52">
        <v>2027</v>
      </c>
      <c r="B52" s="7">
        <f>'Persamaan 5'!C53</f>
        <v>48615.156883464399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A2F3-7424-4ADF-BBB4-D92B5705BAE0}">
  <dimension ref="A1:N22"/>
  <sheetViews>
    <sheetView topLeftCell="A18" workbookViewId="0">
      <selection activeCell="A12" sqref="A12:F22"/>
    </sheetView>
  </sheetViews>
  <sheetFormatPr defaultRowHeight="14.5" x14ac:dyDescent="0.35"/>
  <cols>
    <col min="1" max="1" width="13.81640625" bestFit="1" customWidth="1"/>
    <col min="2" max="2" width="11.453125" customWidth="1"/>
    <col min="3" max="3" width="11.08984375" customWidth="1"/>
    <col min="5" max="6" width="11" customWidth="1"/>
    <col min="8" max="8" width="12.90625" bestFit="1" customWidth="1"/>
    <col min="11" max="11" width="11.81640625" bestFit="1" customWidth="1"/>
    <col min="12" max="12" width="9.26953125" bestFit="1" customWidth="1"/>
  </cols>
  <sheetData>
    <row r="1" spans="1:14" ht="31.5" thickBot="1" x14ac:dyDescent="0.4">
      <c r="A1" s="70" t="s">
        <v>441</v>
      </c>
      <c r="B1" s="71" t="s">
        <v>442</v>
      </c>
    </row>
    <row r="2" spans="1:14" ht="16" thickBot="1" x14ac:dyDescent="0.4">
      <c r="A2" t="s">
        <v>96</v>
      </c>
      <c r="B2" s="27">
        <v>-1.1569339999999999</v>
      </c>
      <c r="G2" s="78" t="s">
        <v>97</v>
      </c>
      <c r="H2" t="s">
        <v>96</v>
      </c>
      <c r="I2" t="s">
        <v>172</v>
      </c>
      <c r="J2" t="s">
        <v>98</v>
      </c>
      <c r="K2" t="s">
        <v>99</v>
      </c>
      <c r="L2" t="s">
        <v>100</v>
      </c>
      <c r="M2" s="74" t="s">
        <v>101</v>
      </c>
      <c r="N2" t="s">
        <v>102</v>
      </c>
    </row>
    <row r="3" spans="1:14" ht="14.5" customHeight="1" x14ac:dyDescent="0.35">
      <c r="A3" t="s">
        <v>172</v>
      </c>
      <c r="B3" s="27">
        <v>6.6297410000000001</v>
      </c>
      <c r="E3" t="s">
        <v>459</v>
      </c>
      <c r="G3" s="11">
        <f>AVERAGE('Persamaan 5'!C3:C48)</f>
        <v>35167.770360238901</v>
      </c>
      <c r="H3" s="11">
        <f>AVERAGE('Persamaan 5'!E3:E48)</f>
        <v>9591.6862187018887</v>
      </c>
      <c r="I3" s="11">
        <f>AVERAGE('Persamaan 5'!F3:F48)</f>
        <v>9476.9220376522662</v>
      </c>
      <c r="J3" s="11">
        <f>AVERAGE('Persamaan 5'!G3:G48)</f>
        <v>9591.6862187018887</v>
      </c>
      <c r="K3" s="11">
        <f>AVERAGE('Persamaan 5'!H3:H48)</f>
        <v>250.19126534859416</v>
      </c>
      <c r="L3" s="11">
        <f>AVERAGE('Persamaan 5'!I3:I48)</f>
        <v>50.857127085603445</v>
      </c>
      <c r="M3" s="11">
        <f>AVERAGE('Persamaan 5'!J3:J48)</f>
        <v>3.3033675470084476</v>
      </c>
      <c r="N3" s="11">
        <f>AVERAGE('Persamaan 5'!K3:K48)</f>
        <v>35.167770360238912</v>
      </c>
    </row>
    <row r="4" spans="1:14" ht="29" x14ac:dyDescent="0.35">
      <c r="A4" t="s">
        <v>98</v>
      </c>
      <c r="B4" s="27">
        <v>0.33418599999999998</v>
      </c>
      <c r="E4" s="80" t="s">
        <v>460</v>
      </c>
      <c r="F4" s="80"/>
      <c r="H4">
        <f>H3/$G$3</f>
        <v>0.27274081127265215</v>
      </c>
      <c r="I4">
        <f t="shared" ref="I4:N4" si="0">I3/$G$3</f>
        <v>0.2694774772633009</v>
      </c>
      <c r="J4">
        <f t="shared" si="0"/>
        <v>0.27274081127265215</v>
      </c>
      <c r="K4">
        <f t="shared" si="0"/>
        <v>7.1142202870917107E-3</v>
      </c>
      <c r="L4">
        <f t="shared" si="0"/>
        <v>1.4461288436728168E-3</v>
      </c>
      <c r="M4">
        <f t="shared" si="0"/>
        <v>9.3931674176969546E-5</v>
      </c>
      <c r="N4">
        <f t="shared" si="0"/>
        <v>1.0000000000000002E-3</v>
      </c>
    </row>
    <row r="5" spans="1:14" x14ac:dyDescent="0.35">
      <c r="A5" t="s">
        <v>99</v>
      </c>
      <c r="B5" s="27">
        <v>-182.50630000000001</v>
      </c>
      <c r="E5" t="s">
        <v>461</v>
      </c>
      <c r="H5" s="27">
        <v>-1.1569339999999999</v>
      </c>
      <c r="I5" s="27">
        <v>6.6297410000000001</v>
      </c>
      <c r="J5" s="27">
        <v>0.33418599999999998</v>
      </c>
      <c r="K5" s="27">
        <v>-182.50630000000001</v>
      </c>
      <c r="L5" s="27">
        <v>-3756.7820000000002</v>
      </c>
      <c r="M5" s="27">
        <v>-8585.8080000000009</v>
      </c>
      <c r="N5">
        <v>0.92146600000000001</v>
      </c>
    </row>
    <row r="6" spans="1:14" x14ac:dyDescent="0.35">
      <c r="A6" t="s">
        <v>100</v>
      </c>
      <c r="B6" s="27">
        <v>-3756.7820000000002</v>
      </c>
      <c r="E6" t="s">
        <v>462</v>
      </c>
      <c r="H6">
        <f>H5*H4</f>
        <v>-0.31554311774891453</v>
      </c>
      <c r="I6">
        <f t="shared" ref="I6:M6" si="1">I5*I4</f>
        <v>1.7865658795890738</v>
      </c>
      <c r="J6">
        <f t="shared" si="1"/>
        <v>9.1146160755962533E-2</v>
      </c>
      <c r="K6">
        <f t="shared" si="1"/>
        <v>-1.2983900219820459</v>
      </c>
      <c r="L6">
        <f t="shared" si="1"/>
        <v>-5.4327908095908519</v>
      </c>
      <c r="M6">
        <f t="shared" si="1"/>
        <v>-0.80647931960201868</v>
      </c>
    </row>
    <row r="7" spans="1:14" ht="14.5" customHeight="1" thickBot="1" x14ac:dyDescent="0.4">
      <c r="A7" s="74" t="s">
        <v>101</v>
      </c>
      <c r="B7" s="27">
        <v>-8585.8080000000009</v>
      </c>
      <c r="E7" t="s">
        <v>463</v>
      </c>
      <c r="H7">
        <f>H6/(1-$N$5)</f>
        <v>-4.0179173065031009</v>
      </c>
      <c r="I7">
        <f t="shared" ref="I7:M7" si="2">I6/(1-$N$5)</f>
        <v>22.748947966346726</v>
      </c>
      <c r="J7">
        <f t="shared" si="2"/>
        <v>1.1605949111972209</v>
      </c>
      <c r="K7">
        <f t="shared" si="2"/>
        <v>-16.53283955970721</v>
      </c>
      <c r="L7">
        <f t="shared" si="2"/>
        <v>-69.177563979815773</v>
      </c>
      <c r="M7">
        <f t="shared" si="2"/>
        <v>-10.269174110602016</v>
      </c>
    </row>
    <row r="8" spans="1:14" ht="14.5" customHeight="1" x14ac:dyDescent="0.35">
      <c r="A8" t="s">
        <v>102</v>
      </c>
      <c r="B8">
        <v>0.92146600000000001</v>
      </c>
    </row>
    <row r="9" spans="1:14" x14ac:dyDescent="0.35">
      <c r="A9" t="s">
        <v>326</v>
      </c>
      <c r="B9">
        <v>212758.1</v>
      </c>
    </row>
    <row r="11" spans="1:14" ht="15" thickBot="1" x14ac:dyDescent="0.4"/>
    <row r="12" spans="1:14" ht="31" customHeight="1" x14ac:dyDescent="0.35">
      <c r="A12" s="117" t="s">
        <v>441</v>
      </c>
      <c r="B12" s="117" t="s">
        <v>526</v>
      </c>
      <c r="C12" s="117" t="s">
        <v>443</v>
      </c>
      <c r="D12" s="119" t="s">
        <v>625</v>
      </c>
      <c r="E12" s="119"/>
      <c r="F12" s="117" t="s">
        <v>444</v>
      </c>
      <c r="G12" s="90"/>
    </row>
    <row r="13" spans="1:14" ht="16" thickBot="1" x14ac:dyDescent="0.4">
      <c r="A13" s="118"/>
      <c r="B13" s="118"/>
      <c r="C13" s="118"/>
      <c r="D13" s="83" t="s">
        <v>626</v>
      </c>
      <c r="E13" s="83" t="s">
        <v>627</v>
      </c>
      <c r="F13" s="118"/>
      <c r="G13" s="90"/>
    </row>
    <row r="14" spans="1:14" ht="46.5" customHeight="1" x14ac:dyDescent="0.35">
      <c r="A14" s="103" t="s">
        <v>96</v>
      </c>
      <c r="B14" s="68">
        <v>1157</v>
      </c>
      <c r="C14" s="67" t="s">
        <v>508</v>
      </c>
      <c r="D14" s="72">
        <v>-0.31554311774891453</v>
      </c>
      <c r="E14" s="72">
        <v>-4.0179173065031009</v>
      </c>
      <c r="F14" s="103" t="s">
        <v>509</v>
      </c>
      <c r="G14" s="90"/>
    </row>
    <row r="15" spans="1:14" ht="31" customHeight="1" x14ac:dyDescent="0.35">
      <c r="A15" s="90" t="s">
        <v>172</v>
      </c>
      <c r="B15" s="68">
        <v>-6649</v>
      </c>
      <c r="C15" s="67" t="s">
        <v>510</v>
      </c>
      <c r="D15" s="72">
        <v>1.7865658795890738</v>
      </c>
      <c r="E15" s="72">
        <v>22.748947966346726</v>
      </c>
      <c r="F15" s="90" t="s">
        <v>29</v>
      </c>
      <c r="G15" s="90"/>
    </row>
    <row r="16" spans="1:14" ht="46.5" customHeight="1" x14ac:dyDescent="0.35">
      <c r="A16" s="90" t="s">
        <v>98</v>
      </c>
      <c r="B16" s="67" t="s">
        <v>511</v>
      </c>
      <c r="C16" s="67" t="s">
        <v>512</v>
      </c>
      <c r="D16" s="72">
        <v>9.1146160755962533E-2</v>
      </c>
      <c r="E16" s="72">
        <v>1.1605949111972209</v>
      </c>
      <c r="F16" s="90" t="s">
        <v>513</v>
      </c>
      <c r="G16" s="90"/>
    </row>
    <row r="17" spans="1:8" ht="31" customHeight="1" x14ac:dyDescent="0.35">
      <c r="A17" s="90" t="s">
        <v>99</v>
      </c>
      <c r="B17" s="68">
        <v>182416</v>
      </c>
      <c r="C17" s="67" t="s">
        <v>514</v>
      </c>
      <c r="D17" s="72">
        <v>-1.2983900219820459</v>
      </c>
      <c r="E17" s="72">
        <v>-16.53283955970721</v>
      </c>
      <c r="F17" s="90" t="s">
        <v>515</v>
      </c>
      <c r="G17" s="90"/>
    </row>
    <row r="18" spans="1:8" ht="46.5" customHeight="1" x14ac:dyDescent="0.35">
      <c r="A18" s="90" t="s">
        <v>100</v>
      </c>
      <c r="B18" s="68">
        <v>3756712</v>
      </c>
      <c r="C18" s="67" t="s">
        <v>516</v>
      </c>
      <c r="D18" s="72">
        <v>-5.4327908095908519</v>
      </c>
      <c r="E18" s="72">
        <v>-69.177563979815773</v>
      </c>
      <c r="F18" s="90" t="s">
        <v>517</v>
      </c>
      <c r="G18" s="90"/>
    </row>
    <row r="19" spans="1:8" ht="31" customHeight="1" x14ac:dyDescent="0.35">
      <c r="A19" s="90" t="s">
        <v>518</v>
      </c>
      <c r="B19" s="68">
        <v>-8715528</v>
      </c>
      <c r="C19" s="67" t="s">
        <v>519</v>
      </c>
      <c r="D19" s="72">
        <v>-0.80647931960201868</v>
      </c>
      <c r="E19" s="72">
        <v>-10.269174110602016</v>
      </c>
      <c r="F19" s="90" t="s">
        <v>520</v>
      </c>
      <c r="G19" s="90"/>
    </row>
    <row r="20" spans="1:8" ht="31" customHeight="1" x14ac:dyDescent="0.35">
      <c r="A20" s="90" t="s">
        <v>521</v>
      </c>
      <c r="B20" s="67" t="s">
        <v>522</v>
      </c>
      <c r="C20" s="67" t="s">
        <v>523</v>
      </c>
      <c r="D20" s="69"/>
      <c r="E20" s="69"/>
      <c r="F20" s="90" t="s">
        <v>29</v>
      </c>
      <c r="G20" s="90"/>
    </row>
    <row r="21" spans="1:8" ht="31" customHeight="1" x14ac:dyDescent="0.35">
      <c r="A21" s="90" t="s">
        <v>456</v>
      </c>
      <c r="B21" s="67" t="s">
        <v>524</v>
      </c>
      <c r="C21" s="67" t="s">
        <v>525</v>
      </c>
      <c r="D21" s="69"/>
      <c r="E21" s="69"/>
      <c r="F21" s="90"/>
      <c r="G21" s="90"/>
    </row>
    <row r="22" spans="1:8" ht="31" customHeight="1" x14ac:dyDescent="0.35">
      <c r="A22" s="112" t="s">
        <v>639</v>
      </c>
      <c r="B22" s="112"/>
      <c r="C22" s="112"/>
      <c r="D22" s="112"/>
      <c r="E22" s="112"/>
      <c r="F22" s="112"/>
      <c r="G22" s="90"/>
      <c r="H22" s="82"/>
    </row>
  </sheetData>
  <mergeCells count="6">
    <mergeCell ref="A12:A13"/>
    <mergeCell ref="A22:F22"/>
    <mergeCell ref="B12:B13"/>
    <mergeCell ref="D12:E12"/>
    <mergeCell ref="F12:F13"/>
    <mergeCell ref="C12:C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60BC-E082-4FA7-8A34-3588B3B0ADB4}">
  <dimension ref="A3:H12"/>
  <sheetViews>
    <sheetView topLeftCell="A9" workbookViewId="0">
      <selection activeCell="A3" sqref="A3:F12"/>
    </sheetView>
  </sheetViews>
  <sheetFormatPr defaultRowHeight="14.5" x14ac:dyDescent="0.35"/>
  <cols>
    <col min="2" max="2" width="15.6328125" bestFit="1" customWidth="1"/>
    <col min="5" max="5" width="8.36328125" customWidth="1"/>
    <col min="6" max="6" width="17.6328125" bestFit="1" customWidth="1"/>
  </cols>
  <sheetData>
    <row r="3" spans="1:8" ht="15.5" customHeight="1" x14ac:dyDescent="0.35">
      <c r="A3" s="114" t="s">
        <v>441</v>
      </c>
      <c r="B3" s="114" t="s">
        <v>526</v>
      </c>
      <c r="C3" s="114" t="s">
        <v>443</v>
      </c>
      <c r="D3" s="113" t="s">
        <v>625</v>
      </c>
      <c r="E3" s="113"/>
      <c r="F3" s="114" t="s">
        <v>444</v>
      </c>
      <c r="G3" s="77"/>
      <c r="H3" s="82"/>
    </row>
    <row r="4" spans="1:8" ht="15.5" x14ac:dyDescent="0.35">
      <c r="A4" s="115"/>
      <c r="B4" s="115"/>
      <c r="C4" s="115"/>
      <c r="D4" s="101" t="s">
        <v>626</v>
      </c>
      <c r="E4" s="101" t="s">
        <v>627</v>
      </c>
      <c r="F4" s="115"/>
      <c r="G4" s="116"/>
      <c r="H4" s="116"/>
    </row>
    <row r="5" spans="1:8" ht="46.5" customHeight="1" x14ac:dyDescent="0.35">
      <c r="A5" s="67" t="s">
        <v>154</v>
      </c>
      <c r="B5" s="67" t="s">
        <v>527</v>
      </c>
      <c r="C5" s="69" t="s">
        <v>528</v>
      </c>
      <c r="D5" s="72"/>
      <c r="E5" s="72"/>
      <c r="F5" s="90" t="s">
        <v>529</v>
      </c>
      <c r="H5" s="90"/>
    </row>
    <row r="6" spans="1:8" ht="62" customHeight="1" x14ac:dyDescent="0.35">
      <c r="A6" s="67" t="s">
        <v>155</v>
      </c>
      <c r="B6" s="67" t="s">
        <v>530</v>
      </c>
      <c r="C6" s="90" t="s">
        <v>531</v>
      </c>
      <c r="D6" s="77"/>
      <c r="E6" s="72"/>
      <c r="F6" s="90" t="s">
        <v>532</v>
      </c>
      <c r="H6" s="90"/>
    </row>
    <row r="7" spans="1:8" ht="31" customHeight="1" x14ac:dyDescent="0.35">
      <c r="A7" s="67" t="s">
        <v>156</v>
      </c>
      <c r="B7" s="67" t="s">
        <v>533</v>
      </c>
      <c r="C7" s="90" t="s">
        <v>534</v>
      </c>
      <c r="D7" s="77"/>
      <c r="E7" s="72"/>
      <c r="F7" s="90" t="s">
        <v>535</v>
      </c>
      <c r="H7" s="90"/>
    </row>
    <row r="8" spans="1:8" ht="62" customHeight="1" x14ac:dyDescent="0.35">
      <c r="A8" s="67" t="s">
        <v>536</v>
      </c>
      <c r="B8" s="67" t="s">
        <v>537</v>
      </c>
      <c r="C8" s="69" t="s">
        <v>538</v>
      </c>
      <c r="D8" s="72"/>
      <c r="E8" s="72"/>
      <c r="F8" s="90" t="s">
        <v>539</v>
      </c>
      <c r="H8" s="90"/>
    </row>
    <row r="9" spans="1:8" ht="108.5" customHeight="1" x14ac:dyDescent="0.35">
      <c r="A9" s="67" t="s">
        <v>158</v>
      </c>
      <c r="B9" s="68">
        <v>49692</v>
      </c>
      <c r="C9" s="69" t="s">
        <v>540</v>
      </c>
      <c r="D9" s="72"/>
      <c r="E9" s="72"/>
      <c r="F9" s="90" t="s">
        <v>541</v>
      </c>
      <c r="H9" s="90"/>
    </row>
    <row r="10" spans="1:8" ht="77.5" customHeight="1" x14ac:dyDescent="0.35">
      <c r="A10" s="67" t="s">
        <v>542</v>
      </c>
      <c r="B10" s="67" t="s">
        <v>543</v>
      </c>
      <c r="C10" s="69" t="s">
        <v>544</v>
      </c>
      <c r="D10" s="72"/>
      <c r="E10" s="72"/>
      <c r="F10" s="90" t="s">
        <v>545</v>
      </c>
      <c r="H10" s="90"/>
    </row>
    <row r="11" spans="1:8" ht="15.5" x14ac:dyDescent="0.35">
      <c r="A11" s="67" t="s">
        <v>456</v>
      </c>
      <c r="B11" s="68">
        <v>130925</v>
      </c>
      <c r="C11" s="69" t="s">
        <v>546</v>
      </c>
      <c r="D11" s="102"/>
      <c r="E11" s="102"/>
      <c r="F11" s="102"/>
      <c r="G11" s="116"/>
      <c r="H11" s="116"/>
    </row>
    <row r="12" spans="1:8" ht="31" customHeight="1" x14ac:dyDescent="0.35">
      <c r="A12" s="112" t="s">
        <v>638</v>
      </c>
      <c r="B12" s="112"/>
      <c r="C12" s="112"/>
      <c r="D12" s="112"/>
      <c r="E12" s="112"/>
      <c r="F12" s="112"/>
      <c r="G12" s="90"/>
      <c r="H12" s="82"/>
    </row>
  </sheetData>
  <mergeCells count="8">
    <mergeCell ref="G11:H11"/>
    <mergeCell ref="D3:E3"/>
    <mergeCell ref="F3:F4"/>
    <mergeCell ref="A12:F12"/>
    <mergeCell ref="A3:A4"/>
    <mergeCell ref="B3:B4"/>
    <mergeCell ref="C3:C4"/>
    <mergeCell ref="G4:H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59"/>
  <sheetViews>
    <sheetView workbookViewId="0">
      <selection activeCell="L53" sqref="L53:M58"/>
    </sheetView>
  </sheetViews>
  <sheetFormatPr defaultRowHeight="14.5" x14ac:dyDescent="0.35"/>
  <cols>
    <col min="3" max="3" width="10.1796875" bestFit="1" customWidth="1"/>
    <col min="4" max="4" width="10.1796875" customWidth="1"/>
    <col min="16" max="16" width="14" customWidth="1"/>
  </cols>
  <sheetData>
    <row r="1" spans="1:16" ht="15.5" x14ac:dyDescent="0.35">
      <c r="C1" s="19" t="s">
        <v>114</v>
      </c>
      <c r="D1" s="19"/>
      <c r="F1" s="108" t="s">
        <v>116</v>
      </c>
      <c r="G1" s="108"/>
    </row>
    <row r="2" spans="1:16" x14ac:dyDescent="0.35">
      <c r="E2" t="s">
        <v>115</v>
      </c>
      <c r="F2" t="s">
        <v>103</v>
      </c>
      <c r="G2" t="s">
        <v>117</v>
      </c>
      <c r="H2" t="s">
        <v>116</v>
      </c>
      <c r="I2" t="s">
        <v>111</v>
      </c>
      <c r="J2" t="s">
        <v>118</v>
      </c>
      <c r="K2" t="s">
        <v>119</v>
      </c>
      <c r="N2" t="s">
        <v>334</v>
      </c>
      <c r="O2" t="s">
        <v>335</v>
      </c>
    </row>
    <row r="3" spans="1:16" x14ac:dyDescent="0.35">
      <c r="A3">
        <v>2000</v>
      </c>
      <c r="B3">
        <v>1</v>
      </c>
      <c r="C3" s="7">
        <v>2073</v>
      </c>
      <c r="D3" s="7"/>
      <c r="E3" s="7">
        <v>1406</v>
      </c>
      <c r="F3" s="6">
        <v>363.5</v>
      </c>
      <c r="G3" s="7">
        <v>8719</v>
      </c>
      <c r="H3" s="7">
        <v>3169356.5</v>
      </c>
      <c r="I3" s="7">
        <v>755.77080000000001</v>
      </c>
      <c r="J3" s="7">
        <v>1483290</v>
      </c>
      <c r="K3" s="7">
        <v>1984</v>
      </c>
      <c r="N3" s="7">
        <v>2073</v>
      </c>
      <c r="O3" s="30">
        <v>2188.5558017956</v>
      </c>
      <c r="P3" s="30">
        <v>-115.55580179560002</v>
      </c>
    </row>
    <row r="4" spans="1:16" x14ac:dyDescent="0.35">
      <c r="B4">
        <v>2</v>
      </c>
      <c r="C4" s="7">
        <v>2181.5</v>
      </c>
      <c r="D4" s="20">
        <v>5.2339604438012541E-2</v>
      </c>
      <c r="E4" s="7">
        <v>1636.5</v>
      </c>
      <c r="F4" s="6">
        <v>365.25</v>
      </c>
      <c r="G4" s="7">
        <v>8738.5</v>
      </c>
      <c r="H4" s="7">
        <v>3191737.125</v>
      </c>
      <c r="I4" s="7">
        <v>758.58255000000008</v>
      </c>
      <c r="J4" s="7">
        <v>1579179</v>
      </c>
      <c r="K4" s="7">
        <v>2083</v>
      </c>
      <c r="N4" s="7">
        <v>2181.5</v>
      </c>
      <c r="O4" s="30">
        <v>2266.0005212903498</v>
      </c>
      <c r="P4" s="30">
        <v>-84.500521290349752</v>
      </c>
    </row>
    <row r="5" spans="1:16" x14ac:dyDescent="0.35">
      <c r="A5">
        <v>2001</v>
      </c>
      <c r="B5">
        <v>1</v>
      </c>
      <c r="C5" s="7">
        <v>2290</v>
      </c>
      <c r="D5" s="20">
        <v>4.9736419894567958E-2</v>
      </c>
      <c r="E5" s="7">
        <v>1867</v>
      </c>
      <c r="F5" s="6">
        <v>367</v>
      </c>
      <c r="G5" s="7">
        <v>8758</v>
      </c>
      <c r="H5" s="7">
        <v>3214186</v>
      </c>
      <c r="I5" s="7">
        <v>761.39430000000004</v>
      </c>
      <c r="J5" s="7">
        <v>1675068</v>
      </c>
      <c r="K5" s="7">
        <v>2182</v>
      </c>
      <c r="N5" s="7">
        <v>2290</v>
      </c>
      <c r="O5" s="30">
        <v>2343.4494859351003</v>
      </c>
      <c r="P5" s="30">
        <v>-53.449485935100256</v>
      </c>
    </row>
    <row r="6" spans="1:16" x14ac:dyDescent="0.35">
      <c r="B6">
        <v>2</v>
      </c>
      <c r="C6" s="7">
        <v>2303</v>
      </c>
      <c r="D6" s="20">
        <v>5.6768558951965069E-3</v>
      </c>
      <c r="E6" s="7">
        <v>1824</v>
      </c>
      <c r="F6" s="6">
        <v>348.5</v>
      </c>
      <c r="G6" s="7">
        <v>8777</v>
      </c>
      <c r="H6" s="7">
        <v>3058784.5</v>
      </c>
      <c r="I6" s="7">
        <v>795.59265000000005</v>
      </c>
      <c r="J6" s="7">
        <v>1730833</v>
      </c>
      <c r="K6" s="7">
        <v>2253</v>
      </c>
      <c r="N6" s="7">
        <v>2303</v>
      </c>
      <c r="O6" s="30">
        <v>2419.1367544110499</v>
      </c>
      <c r="P6" s="30">
        <v>-116.13675441104988</v>
      </c>
    </row>
    <row r="7" spans="1:16" x14ac:dyDescent="0.35">
      <c r="A7">
        <v>2002</v>
      </c>
      <c r="B7">
        <v>1</v>
      </c>
      <c r="C7" s="7">
        <v>2316</v>
      </c>
      <c r="D7" s="20">
        <v>5.6448111159357363E-3</v>
      </c>
      <c r="E7" s="7">
        <v>1781</v>
      </c>
      <c r="F7" s="6">
        <v>330</v>
      </c>
      <c r="G7" s="7">
        <v>8796</v>
      </c>
      <c r="H7" s="7">
        <v>2902680</v>
      </c>
      <c r="I7" s="7">
        <v>829.79099999999994</v>
      </c>
      <c r="J7" s="7">
        <v>1786598</v>
      </c>
      <c r="K7" s="7">
        <v>2324</v>
      </c>
      <c r="N7" s="7">
        <v>2316</v>
      </c>
      <c r="O7" s="30">
        <v>2494.7802962870001</v>
      </c>
      <c r="P7" s="30">
        <v>-178.78029628700006</v>
      </c>
    </row>
    <row r="8" spans="1:16" x14ac:dyDescent="0.35">
      <c r="B8">
        <v>2</v>
      </c>
      <c r="C8" s="7">
        <v>2506</v>
      </c>
      <c r="D8" s="20">
        <v>8.2037996545768571E-2</v>
      </c>
      <c r="E8" s="7">
        <v>2011</v>
      </c>
      <c r="F8" s="6">
        <v>340</v>
      </c>
      <c r="G8" s="7">
        <v>8814</v>
      </c>
      <c r="H8" s="7">
        <v>2996760</v>
      </c>
      <c r="I8" s="7">
        <v>813.44734999999991</v>
      </c>
      <c r="J8" s="7">
        <v>1855002</v>
      </c>
      <c r="K8" s="7">
        <v>2484</v>
      </c>
      <c r="N8" s="7">
        <v>2506</v>
      </c>
      <c r="O8" s="30">
        <v>2659.0166967689497</v>
      </c>
      <c r="P8" s="30">
        <v>-153.01669676894971</v>
      </c>
    </row>
    <row r="9" spans="1:16" x14ac:dyDescent="0.35">
      <c r="A9">
        <v>2003</v>
      </c>
      <c r="B9">
        <v>1</v>
      </c>
      <c r="C9" s="7">
        <v>2696</v>
      </c>
      <c r="D9" s="20">
        <v>7.5818036711891454E-2</v>
      </c>
      <c r="E9" s="7">
        <v>2241</v>
      </c>
      <c r="F9" s="6">
        <v>350</v>
      </c>
      <c r="G9" s="7">
        <v>8832</v>
      </c>
      <c r="H9" s="7">
        <v>3091200</v>
      </c>
      <c r="I9" s="7">
        <v>797.1037</v>
      </c>
      <c r="J9" s="7">
        <v>1923406</v>
      </c>
      <c r="K9" s="7">
        <v>2644</v>
      </c>
      <c r="N9" s="7">
        <v>2696</v>
      </c>
      <c r="O9" s="30">
        <v>2823.2754892508997</v>
      </c>
      <c r="P9" s="30">
        <v>-127.27548925089968</v>
      </c>
    </row>
    <row r="10" spans="1:16" x14ac:dyDescent="0.35">
      <c r="B10">
        <v>2</v>
      </c>
      <c r="C10" s="7">
        <v>2974</v>
      </c>
      <c r="D10" s="20">
        <v>0.10311572700296735</v>
      </c>
      <c r="E10" s="7">
        <v>2235</v>
      </c>
      <c r="F10" s="6">
        <v>340.5</v>
      </c>
      <c r="G10" s="7">
        <v>8849.5</v>
      </c>
      <c r="H10" s="7">
        <v>3013254.75</v>
      </c>
      <c r="I10" s="7">
        <v>807.55144999999993</v>
      </c>
      <c r="J10" s="7">
        <v>1951855.5</v>
      </c>
      <c r="K10" s="7">
        <v>2761</v>
      </c>
      <c r="N10" s="7">
        <v>2974</v>
      </c>
      <c r="O10" s="30">
        <v>2960.9409107726501</v>
      </c>
      <c r="P10" s="30">
        <v>13.059089227349887</v>
      </c>
    </row>
    <row r="11" spans="1:16" x14ac:dyDescent="0.35">
      <c r="A11">
        <v>2004</v>
      </c>
      <c r="B11">
        <v>1</v>
      </c>
      <c r="C11" s="7">
        <v>3252</v>
      </c>
      <c r="D11" s="20">
        <v>9.3476798924008064E-2</v>
      </c>
      <c r="E11" s="7">
        <v>2229</v>
      </c>
      <c r="F11" s="6">
        <v>331</v>
      </c>
      <c r="G11" s="7">
        <v>8867</v>
      </c>
      <c r="H11" s="7">
        <v>2934977</v>
      </c>
      <c r="I11" s="7">
        <v>817.99919999999997</v>
      </c>
      <c r="J11" s="7">
        <v>1980305</v>
      </c>
      <c r="K11" s="7">
        <v>2878</v>
      </c>
      <c r="N11" s="7">
        <v>3252</v>
      </c>
      <c r="O11" s="30">
        <v>3098.5856507944</v>
      </c>
      <c r="P11" s="30">
        <v>153.41434920560005</v>
      </c>
    </row>
    <row r="12" spans="1:16" x14ac:dyDescent="0.35">
      <c r="B12">
        <v>2</v>
      </c>
      <c r="C12" s="7">
        <v>3191</v>
      </c>
      <c r="D12" s="20">
        <v>-1.8757687576875768E-2</v>
      </c>
      <c r="E12" s="7">
        <v>2354.5</v>
      </c>
      <c r="F12" s="6">
        <v>311.5</v>
      </c>
      <c r="G12" s="7">
        <v>8884.5</v>
      </c>
      <c r="H12" s="7">
        <v>2767521.75</v>
      </c>
      <c r="I12" s="7">
        <v>787.55439999999999</v>
      </c>
      <c r="J12" s="7">
        <v>1991053</v>
      </c>
      <c r="K12" s="7">
        <v>2909</v>
      </c>
      <c r="N12" s="7">
        <v>3191</v>
      </c>
      <c r="O12" s="30">
        <v>3116.2536275307998</v>
      </c>
      <c r="P12" s="30">
        <v>74.746372469200196</v>
      </c>
    </row>
    <row r="13" spans="1:16" x14ac:dyDescent="0.35">
      <c r="A13">
        <v>2005</v>
      </c>
      <c r="B13">
        <v>1</v>
      </c>
      <c r="C13" s="7">
        <v>3130</v>
      </c>
      <c r="D13" s="20">
        <v>-1.9116264493889062E-2</v>
      </c>
      <c r="E13" s="7">
        <v>2480</v>
      </c>
      <c r="F13" s="6">
        <v>292</v>
      </c>
      <c r="G13" s="7">
        <v>8902</v>
      </c>
      <c r="H13" s="7">
        <v>2599384</v>
      </c>
      <c r="I13" s="7">
        <v>757.1096</v>
      </c>
      <c r="J13" s="7">
        <v>2001801</v>
      </c>
      <c r="K13" s="7">
        <v>2940</v>
      </c>
      <c r="N13" s="7">
        <v>3130</v>
      </c>
      <c r="O13" s="30">
        <v>3133.8791527672001</v>
      </c>
      <c r="P13" s="30">
        <v>-3.8791527672001394</v>
      </c>
    </row>
    <row r="14" spans="1:16" x14ac:dyDescent="0.35">
      <c r="B14">
        <v>2</v>
      </c>
      <c r="C14" s="7">
        <v>3209.5</v>
      </c>
      <c r="D14" s="20">
        <v>2.5399361022364217E-2</v>
      </c>
      <c r="E14" s="7">
        <v>2405.5</v>
      </c>
      <c r="F14" s="6">
        <v>294.5</v>
      </c>
      <c r="G14" s="7">
        <v>8919</v>
      </c>
      <c r="H14" s="7">
        <v>2626645.5</v>
      </c>
      <c r="I14" s="7">
        <v>760.69360000000006</v>
      </c>
      <c r="J14" s="7">
        <v>2091648.5</v>
      </c>
      <c r="K14" s="7">
        <v>2971.5</v>
      </c>
      <c r="N14" s="7">
        <v>3209.5</v>
      </c>
      <c r="O14" s="30">
        <v>3212.5587791551998</v>
      </c>
      <c r="P14" s="30">
        <v>-3.0587791551997725</v>
      </c>
    </row>
    <row r="15" spans="1:16" x14ac:dyDescent="0.35">
      <c r="A15">
        <v>2006</v>
      </c>
      <c r="B15">
        <v>1</v>
      </c>
      <c r="C15" s="7">
        <v>3289</v>
      </c>
      <c r="D15" s="20">
        <v>2.4770213428883005E-2</v>
      </c>
      <c r="E15" s="7">
        <v>2331</v>
      </c>
      <c r="F15" s="6">
        <v>297</v>
      </c>
      <c r="G15" s="7">
        <v>8936</v>
      </c>
      <c r="H15" s="7">
        <v>2653992</v>
      </c>
      <c r="I15" s="7">
        <v>764.27760000000001</v>
      </c>
      <c r="J15" s="7">
        <v>2181496</v>
      </c>
      <c r="K15" s="7">
        <v>3003</v>
      </c>
      <c r="N15" s="7">
        <v>3289</v>
      </c>
      <c r="O15" s="30">
        <v>3291.2436925432003</v>
      </c>
      <c r="P15" s="30">
        <v>-2.2436925432002681</v>
      </c>
    </row>
    <row r="16" spans="1:16" x14ac:dyDescent="0.35">
      <c r="B16">
        <v>2</v>
      </c>
      <c r="C16" s="7">
        <v>3441.5</v>
      </c>
      <c r="D16" s="20">
        <v>4.6366676801459408E-2</v>
      </c>
      <c r="E16" s="7">
        <v>2344</v>
      </c>
      <c r="F16" s="6">
        <v>287.25</v>
      </c>
      <c r="G16" s="7">
        <v>8945.5</v>
      </c>
      <c r="H16" s="7">
        <v>2569594.875</v>
      </c>
      <c r="I16" s="7">
        <v>779.81039999999996</v>
      </c>
      <c r="J16" s="7">
        <v>2223487.5</v>
      </c>
      <c r="K16" s="7">
        <v>3142.5</v>
      </c>
      <c r="N16" s="7">
        <v>3441.5</v>
      </c>
      <c r="O16" s="30">
        <v>3449.8474156978</v>
      </c>
      <c r="P16" s="30">
        <v>-8.3474156977999883</v>
      </c>
    </row>
    <row r="17" spans="1:16" x14ac:dyDescent="0.35">
      <c r="A17">
        <v>2007</v>
      </c>
      <c r="B17">
        <v>1</v>
      </c>
      <c r="C17" s="7">
        <v>3594</v>
      </c>
      <c r="D17" s="20">
        <v>4.4312073223884932E-2</v>
      </c>
      <c r="E17" s="7">
        <v>2357</v>
      </c>
      <c r="F17" s="6">
        <v>277.5</v>
      </c>
      <c r="G17" s="7">
        <v>8955</v>
      </c>
      <c r="H17" s="7">
        <v>2485012.5</v>
      </c>
      <c r="I17" s="7">
        <v>795.34319999999991</v>
      </c>
      <c r="J17" s="7">
        <v>2265479</v>
      </c>
      <c r="K17" s="7">
        <v>3282</v>
      </c>
      <c r="N17" s="7">
        <v>3594</v>
      </c>
      <c r="O17" s="30">
        <v>3608.4396163024003</v>
      </c>
      <c r="P17" s="30">
        <v>-14.439616302400282</v>
      </c>
    </row>
    <row r="18" spans="1:16" x14ac:dyDescent="0.35">
      <c r="B18">
        <v>2</v>
      </c>
      <c r="C18" s="7">
        <v>3673</v>
      </c>
      <c r="D18" s="20">
        <v>2.19810795770729E-2</v>
      </c>
      <c r="E18" s="7">
        <v>2515</v>
      </c>
      <c r="F18" s="6">
        <v>208.25</v>
      </c>
      <c r="G18" s="7">
        <v>8968</v>
      </c>
      <c r="H18" s="7">
        <v>1867586</v>
      </c>
      <c r="I18" s="7">
        <v>807.8454999999999</v>
      </c>
      <c r="J18" s="7">
        <v>2319315.5</v>
      </c>
      <c r="K18" s="7">
        <v>3354</v>
      </c>
      <c r="N18" s="7">
        <v>3673</v>
      </c>
      <c r="O18" s="30">
        <v>3616.5110144935002</v>
      </c>
      <c r="P18" s="30">
        <v>56.48898550649983</v>
      </c>
    </row>
    <row r="19" spans="1:16" x14ac:dyDescent="0.35">
      <c r="A19">
        <v>2008</v>
      </c>
      <c r="B19">
        <v>1</v>
      </c>
      <c r="C19" s="7">
        <v>3752</v>
      </c>
      <c r="D19" s="20">
        <v>2.150830383882385E-2</v>
      </c>
      <c r="E19" s="7">
        <v>2673</v>
      </c>
      <c r="F19" s="6">
        <v>139</v>
      </c>
      <c r="G19" s="7">
        <v>8981</v>
      </c>
      <c r="H19" s="7">
        <v>1248359</v>
      </c>
      <c r="I19" s="7">
        <v>820.34780000000001</v>
      </c>
      <c r="J19" s="7">
        <v>2373152</v>
      </c>
      <c r="K19" s="7">
        <v>3426</v>
      </c>
      <c r="N19" s="7">
        <v>3752</v>
      </c>
      <c r="O19" s="30">
        <v>3624.4704215846</v>
      </c>
      <c r="P19" s="30">
        <v>127.52957841540001</v>
      </c>
    </row>
    <row r="20" spans="1:16" x14ac:dyDescent="0.35">
      <c r="B20">
        <v>2</v>
      </c>
      <c r="C20" s="7">
        <v>3887</v>
      </c>
      <c r="D20" s="20">
        <v>3.5980810234541576E-2</v>
      </c>
      <c r="E20" s="7">
        <v>2773</v>
      </c>
      <c r="F20" s="6">
        <v>160</v>
      </c>
      <c r="G20" s="7">
        <v>8995.5</v>
      </c>
      <c r="H20" s="7">
        <v>1439280</v>
      </c>
      <c r="I20" s="7">
        <v>823.66765000000009</v>
      </c>
      <c r="J20" s="7">
        <v>2527491.5</v>
      </c>
      <c r="K20" s="7">
        <v>3549</v>
      </c>
      <c r="N20" s="7">
        <v>3887</v>
      </c>
      <c r="O20" s="30">
        <v>3790.9514887860496</v>
      </c>
      <c r="P20" s="30">
        <v>96.048511213950405</v>
      </c>
    </row>
    <row r="21" spans="1:16" x14ac:dyDescent="0.35">
      <c r="A21">
        <v>2009</v>
      </c>
      <c r="B21">
        <v>1</v>
      </c>
      <c r="C21" s="7">
        <v>4022</v>
      </c>
      <c r="D21" s="20">
        <v>3.4731155132492926E-2</v>
      </c>
      <c r="E21" s="7">
        <v>2873</v>
      </c>
      <c r="F21" s="6">
        <v>181</v>
      </c>
      <c r="G21" s="7">
        <v>9010</v>
      </c>
      <c r="H21" s="7">
        <v>1630810</v>
      </c>
      <c r="I21" s="7">
        <v>826.98750000000007</v>
      </c>
      <c r="J21" s="7">
        <v>2681831</v>
      </c>
      <c r="K21" s="7">
        <v>3672</v>
      </c>
      <c r="N21" s="7">
        <v>4022</v>
      </c>
      <c r="O21" s="30">
        <v>3957.4704357875007</v>
      </c>
      <c r="P21" s="30">
        <v>64.529564212499281</v>
      </c>
    </row>
    <row r="22" spans="1:16" x14ac:dyDescent="0.35">
      <c r="B22">
        <v>2</v>
      </c>
      <c r="C22" s="7">
        <v>4108</v>
      </c>
      <c r="D22" s="20">
        <v>2.1382396817503729E-2</v>
      </c>
      <c r="E22" s="7">
        <v>2986</v>
      </c>
      <c r="F22" s="6">
        <v>300.5</v>
      </c>
      <c r="G22" s="7">
        <v>9023.5</v>
      </c>
      <c r="H22" s="7">
        <v>2711561.75</v>
      </c>
      <c r="I22" s="7">
        <v>829.23750000000007</v>
      </c>
      <c r="J22" s="7">
        <v>2814449</v>
      </c>
      <c r="K22" s="7">
        <v>3750.5</v>
      </c>
      <c r="N22" s="7">
        <v>4108</v>
      </c>
      <c r="O22" s="30">
        <v>4117.4209758874995</v>
      </c>
      <c r="P22" s="30">
        <v>-9.4209758874994805</v>
      </c>
    </row>
    <row r="23" spans="1:16" x14ac:dyDescent="0.35">
      <c r="A23">
        <v>2010</v>
      </c>
      <c r="B23">
        <v>1</v>
      </c>
      <c r="C23" s="7">
        <v>4194</v>
      </c>
      <c r="D23" s="20">
        <v>2.0934761441090556E-2</v>
      </c>
      <c r="E23" s="7">
        <v>3099</v>
      </c>
      <c r="F23" s="6">
        <v>420</v>
      </c>
      <c r="G23" s="7">
        <v>9037</v>
      </c>
      <c r="H23" s="7">
        <v>3795540</v>
      </c>
      <c r="I23" s="7">
        <v>831.48750000000007</v>
      </c>
      <c r="J23" s="7">
        <v>2947067</v>
      </c>
      <c r="K23" s="7">
        <v>3829</v>
      </c>
      <c r="N23" s="7">
        <v>4194</v>
      </c>
      <c r="O23" s="30">
        <v>4277.5722042875004</v>
      </c>
      <c r="P23" s="30">
        <v>-83.572204287500426</v>
      </c>
    </row>
    <row r="24" spans="1:16" x14ac:dyDescent="0.35">
      <c r="B24">
        <v>2</v>
      </c>
      <c r="C24" s="7">
        <v>4270.5</v>
      </c>
      <c r="D24" s="20">
        <v>1.8240343347639486E-2</v>
      </c>
      <c r="E24" s="7">
        <v>3156</v>
      </c>
      <c r="F24" s="6">
        <v>325.5</v>
      </c>
      <c r="G24" s="7">
        <v>9052.5</v>
      </c>
      <c r="H24" s="7">
        <v>2946588.75</v>
      </c>
      <c r="I24" s="7">
        <v>860.34525000000008</v>
      </c>
      <c r="J24" s="7">
        <v>3277235</v>
      </c>
      <c r="K24" s="7">
        <v>3899</v>
      </c>
      <c r="N24" s="7">
        <v>4270.5</v>
      </c>
      <c r="O24" s="30">
        <v>4348.1927369792502</v>
      </c>
      <c r="P24" s="30">
        <v>-77.692736979250185</v>
      </c>
    </row>
    <row r="25" spans="1:16" x14ac:dyDescent="0.35">
      <c r="A25">
        <v>2011</v>
      </c>
      <c r="B25">
        <v>1</v>
      </c>
      <c r="C25" s="7">
        <v>4347</v>
      </c>
      <c r="D25" s="20">
        <v>1.7913593256059009E-2</v>
      </c>
      <c r="E25" s="7">
        <v>3213</v>
      </c>
      <c r="F25" s="6">
        <v>231</v>
      </c>
      <c r="G25" s="7">
        <v>9068</v>
      </c>
      <c r="H25" s="7">
        <v>2094708</v>
      </c>
      <c r="I25" s="7">
        <v>889.20299999999997</v>
      </c>
      <c r="J25" s="7">
        <v>3607403</v>
      </c>
      <c r="K25" s="7">
        <v>3969</v>
      </c>
      <c r="N25" s="7">
        <v>4347</v>
      </c>
      <c r="O25" s="30">
        <v>4418.6310547710009</v>
      </c>
      <c r="P25" s="30">
        <v>-71.63105477100089</v>
      </c>
    </row>
    <row r="26" spans="1:16" x14ac:dyDescent="0.35">
      <c r="B26">
        <v>2</v>
      </c>
      <c r="C26" s="7">
        <v>4520.6499999999996</v>
      </c>
      <c r="D26" s="20">
        <v>3.9947089947089863E-2</v>
      </c>
      <c r="E26" s="7">
        <v>3291</v>
      </c>
      <c r="F26" s="6">
        <v>181.5</v>
      </c>
      <c r="G26" s="7">
        <v>9369</v>
      </c>
      <c r="H26" s="7">
        <v>1700473.5</v>
      </c>
      <c r="I26" s="7">
        <v>930.33809999999994</v>
      </c>
      <c r="J26" s="7">
        <v>3661458</v>
      </c>
      <c r="K26" s="7">
        <v>4127.5</v>
      </c>
      <c r="N26" s="7">
        <v>4520.6499999999996</v>
      </c>
      <c r="O26" s="30">
        <v>4546.4796983917004</v>
      </c>
      <c r="P26" s="30">
        <v>-25.829698391700731</v>
      </c>
    </row>
    <row r="27" spans="1:16" x14ac:dyDescent="0.35">
      <c r="A27">
        <v>2012</v>
      </c>
      <c r="B27">
        <v>1</v>
      </c>
      <c r="C27" s="7">
        <v>4694.2999999999993</v>
      </c>
      <c r="D27" s="20">
        <v>3.8412617654540751E-2</v>
      </c>
      <c r="E27" s="7">
        <v>3369</v>
      </c>
      <c r="F27" s="6">
        <v>132</v>
      </c>
      <c r="G27" s="7">
        <v>9670</v>
      </c>
      <c r="H27" s="7">
        <v>1276440</v>
      </c>
      <c r="I27" s="7">
        <v>971.47320000000002</v>
      </c>
      <c r="J27" s="7">
        <v>3715513</v>
      </c>
      <c r="K27" s="7">
        <v>4286</v>
      </c>
      <c r="N27" s="7">
        <v>4694.2999999999993</v>
      </c>
      <c r="O27" s="30">
        <v>4672.4748442124001</v>
      </c>
      <c r="P27" s="30">
        <v>21.825155787599215</v>
      </c>
    </row>
    <row r="28" spans="1:16" x14ac:dyDescent="0.35">
      <c r="B28">
        <v>2</v>
      </c>
      <c r="C28" s="7">
        <v>4961.1499999999996</v>
      </c>
      <c r="D28" s="20">
        <v>5.6845536075666322E-2</v>
      </c>
      <c r="E28" s="7">
        <v>3599</v>
      </c>
      <c r="F28" s="6">
        <v>195</v>
      </c>
      <c r="G28" s="7">
        <v>10929.5</v>
      </c>
      <c r="H28" s="7">
        <v>2131252.5</v>
      </c>
      <c r="I28" s="7">
        <v>985.5385</v>
      </c>
      <c r="J28" s="7">
        <v>3721596.5</v>
      </c>
      <c r="K28" s="7">
        <v>4570</v>
      </c>
      <c r="N28" s="7">
        <v>4961.1499999999996</v>
      </c>
      <c r="O28" s="30">
        <v>4997.4941358945007</v>
      </c>
      <c r="P28" s="30">
        <v>-36.344135894501051</v>
      </c>
    </row>
    <row r="29" spans="1:16" x14ac:dyDescent="0.35">
      <c r="A29">
        <v>2013</v>
      </c>
      <c r="B29">
        <v>1</v>
      </c>
      <c r="C29" s="7">
        <v>5228</v>
      </c>
      <c r="D29" s="20">
        <v>5.3787932233454017E-2</v>
      </c>
      <c r="E29" s="7">
        <v>3829</v>
      </c>
      <c r="F29" s="6">
        <v>258</v>
      </c>
      <c r="G29" s="7">
        <v>12189</v>
      </c>
      <c r="H29" s="7">
        <v>3144762</v>
      </c>
      <c r="I29" s="7">
        <v>999.60379999999998</v>
      </c>
      <c r="J29" s="7">
        <v>3727680</v>
      </c>
      <c r="K29" s="7">
        <v>4854</v>
      </c>
      <c r="N29" s="7">
        <v>5228</v>
      </c>
      <c r="O29" s="30">
        <v>5332.3843809765995</v>
      </c>
      <c r="P29" s="30">
        <v>-104.38438097659946</v>
      </c>
    </row>
    <row r="30" spans="1:16" x14ac:dyDescent="0.35">
      <c r="B30">
        <v>2</v>
      </c>
      <c r="C30" s="7">
        <v>5278</v>
      </c>
      <c r="D30" s="20">
        <v>9.5638867635807184E-3</v>
      </c>
      <c r="E30" s="7">
        <v>3963</v>
      </c>
      <c r="F30" s="6">
        <v>263.5</v>
      </c>
      <c r="G30" s="7">
        <v>12314.5</v>
      </c>
      <c r="H30" s="7">
        <v>3244870.75</v>
      </c>
      <c r="I30" s="7">
        <v>1047.7221999999999</v>
      </c>
      <c r="J30" s="7">
        <v>3679359.5</v>
      </c>
      <c r="K30" s="7">
        <v>5019</v>
      </c>
      <c r="N30" s="7">
        <v>5278</v>
      </c>
      <c r="O30" s="30">
        <v>5454.4919738553999</v>
      </c>
      <c r="P30" s="30">
        <v>-176.49197385539992</v>
      </c>
    </row>
    <row r="31" spans="1:16" x14ac:dyDescent="0.35">
      <c r="A31">
        <v>2014</v>
      </c>
      <c r="B31">
        <v>1</v>
      </c>
      <c r="C31" s="7">
        <v>5328</v>
      </c>
      <c r="D31" s="20">
        <v>9.4732853353543013E-3</v>
      </c>
      <c r="E31" s="7">
        <v>4097</v>
      </c>
      <c r="F31" s="6">
        <v>269</v>
      </c>
      <c r="G31" s="7">
        <v>12440</v>
      </c>
      <c r="H31" s="7">
        <v>3346360</v>
      </c>
      <c r="I31" s="7">
        <v>1095.8406</v>
      </c>
      <c r="J31" s="7">
        <v>3631039</v>
      </c>
      <c r="K31" s="7">
        <v>5184</v>
      </c>
      <c r="N31" s="7">
        <v>5328</v>
      </c>
      <c r="O31" s="30">
        <v>5576.6854338342</v>
      </c>
      <c r="P31" s="30">
        <v>-248.68543383420001</v>
      </c>
    </row>
    <row r="32" spans="1:16" x14ac:dyDescent="0.35">
      <c r="B32">
        <v>2</v>
      </c>
      <c r="C32" s="7">
        <v>5477.5</v>
      </c>
      <c r="D32" s="20">
        <v>2.8059309309309308E-2</v>
      </c>
      <c r="E32" s="7">
        <v>4192.5</v>
      </c>
      <c r="F32" s="6">
        <v>272</v>
      </c>
      <c r="G32" s="7">
        <v>13117.5</v>
      </c>
      <c r="H32" s="7">
        <v>3567960</v>
      </c>
      <c r="I32" s="7">
        <v>1184.8105500000001</v>
      </c>
      <c r="J32" s="7">
        <v>3837934</v>
      </c>
      <c r="K32" s="7">
        <v>5302.5</v>
      </c>
      <c r="N32" s="7">
        <v>5477.5</v>
      </c>
      <c r="O32" s="30">
        <v>5688.5609997113497</v>
      </c>
      <c r="P32" s="30">
        <v>-211.06099971134972</v>
      </c>
    </row>
    <row r="33" spans="1:16" x14ac:dyDescent="0.35">
      <c r="A33">
        <v>2015</v>
      </c>
      <c r="B33">
        <v>1</v>
      </c>
      <c r="C33" s="7">
        <v>5627</v>
      </c>
      <c r="D33" s="20">
        <v>2.7293473299863077E-2</v>
      </c>
      <c r="E33" s="7">
        <v>4288</v>
      </c>
      <c r="F33" s="6">
        <v>275</v>
      </c>
      <c r="G33" s="7">
        <v>13795</v>
      </c>
      <c r="H33" s="7">
        <v>3793625</v>
      </c>
      <c r="I33" s="7">
        <v>1273.7805000000001</v>
      </c>
      <c r="J33" s="7">
        <v>4044829</v>
      </c>
      <c r="K33" s="7">
        <v>5421</v>
      </c>
      <c r="N33" s="7">
        <v>5627</v>
      </c>
      <c r="O33" s="30">
        <v>5800.6894085884996</v>
      </c>
      <c r="P33" s="30">
        <v>-173.68940858849965</v>
      </c>
    </row>
    <row r="34" spans="1:16" x14ac:dyDescent="0.35">
      <c r="B34">
        <v>2</v>
      </c>
      <c r="C34" s="7">
        <v>5875</v>
      </c>
      <c r="D34" s="20">
        <v>4.407321841123156E-2</v>
      </c>
      <c r="E34" s="7">
        <v>4357</v>
      </c>
      <c r="F34" s="6">
        <v>293</v>
      </c>
      <c r="G34" s="7">
        <v>13615.5</v>
      </c>
      <c r="H34" s="7">
        <v>3989341.5</v>
      </c>
      <c r="I34" s="7">
        <v>1302.22605</v>
      </c>
      <c r="J34" s="7">
        <v>4327309.95</v>
      </c>
      <c r="K34" s="7">
        <v>5506</v>
      </c>
      <c r="N34" s="7">
        <v>5875</v>
      </c>
      <c r="O34" s="30">
        <v>5940.5141242948503</v>
      </c>
      <c r="P34" s="30">
        <v>-65.514124294850262</v>
      </c>
    </row>
    <row r="35" spans="1:16" x14ac:dyDescent="0.35">
      <c r="A35">
        <v>2016</v>
      </c>
      <c r="B35">
        <v>1</v>
      </c>
      <c r="C35" s="7">
        <v>6123</v>
      </c>
      <c r="D35" s="20">
        <v>4.2212765957446809E-2</v>
      </c>
      <c r="E35" s="7">
        <v>4426</v>
      </c>
      <c r="F35" s="6">
        <v>311</v>
      </c>
      <c r="G35" s="7">
        <v>13436</v>
      </c>
      <c r="H35" s="7">
        <v>4178596</v>
      </c>
      <c r="I35" s="7">
        <v>1330.6715999999999</v>
      </c>
      <c r="J35" s="7">
        <v>4609790.9000000004</v>
      </c>
      <c r="K35" s="7">
        <v>5591</v>
      </c>
      <c r="N35" s="7">
        <v>6123</v>
      </c>
      <c r="O35" s="30">
        <v>6079.9369036012004</v>
      </c>
      <c r="P35" s="30">
        <v>43.063096398799644</v>
      </c>
    </row>
    <row r="36" spans="1:16" x14ac:dyDescent="0.35">
      <c r="B36">
        <v>2</v>
      </c>
      <c r="C36" s="7">
        <v>6482</v>
      </c>
      <c r="D36" s="20">
        <v>5.8631389841580922E-2</v>
      </c>
      <c r="E36" s="7">
        <v>4741</v>
      </c>
      <c r="F36" s="6">
        <v>336.5</v>
      </c>
      <c r="G36" s="7">
        <v>13492</v>
      </c>
      <c r="H36" s="7">
        <v>4540058</v>
      </c>
      <c r="I36" s="7">
        <v>1341.2867999999999</v>
      </c>
      <c r="J36" s="7">
        <v>4872987.75</v>
      </c>
      <c r="K36" s="7">
        <v>5918.5</v>
      </c>
      <c r="N36" s="7">
        <v>6482</v>
      </c>
      <c r="O36" s="30">
        <v>6465.1871782075996</v>
      </c>
      <c r="P36" s="30">
        <v>16.812821792400428</v>
      </c>
    </row>
    <row r="37" spans="1:16" x14ac:dyDescent="0.35">
      <c r="A37">
        <v>2017</v>
      </c>
      <c r="B37">
        <v>1</v>
      </c>
      <c r="C37" s="7">
        <v>6841</v>
      </c>
      <c r="D37" s="20">
        <v>5.5384140697315641E-2</v>
      </c>
      <c r="E37" s="7">
        <v>5056</v>
      </c>
      <c r="F37" s="6">
        <v>362</v>
      </c>
      <c r="G37" s="7">
        <v>13548</v>
      </c>
      <c r="H37" s="7">
        <v>4904376</v>
      </c>
      <c r="I37" s="7">
        <v>1351.902</v>
      </c>
      <c r="J37" s="7">
        <v>5136184.5999999996</v>
      </c>
      <c r="K37" s="7">
        <v>6246</v>
      </c>
      <c r="N37" s="7">
        <v>6841</v>
      </c>
      <c r="O37" s="30">
        <v>6850.6150960140003</v>
      </c>
      <c r="P37" s="30">
        <v>-9.6150960140003008</v>
      </c>
    </row>
    <row r="38" spans="1:16" x14ac:dyDescent="0.35">
      <c r="B38">
        <v>2</v>
      </c>
      <c r="C38" s="7">
        <v>6676.5</v>
      </c>
      <c r="D38" s="20">
        <v>-2.4046192077181699E-2</v>
      </c>
      <c r="E38" s="7">
        <v>4934.5</v>
      </c>
      <c r="F38" s="6">
        <v>387.5</v>
      </c>
      <c r="G38" s="7">
        <v>14014.5</v>
      </c>
      <c r="H38" s="7">
        <v>5430618.75</v>
      </c>
      <c r="I38" s="7">
        <v>1413.0531000000001</v>
      </c>
      <c r="J38" s="7">
        <v>5300701.5250000004</v>
      </c>
      <c r="K38" s="7">
        <v>6096</v>
      </c>
      <c r="N38" s="7">
        <v>6676.5</v>
      </c>
      <c r="O38" s="30">
        <v>6726.7939624466999</v>
      </c>
      <c r="P38" s="30">
        <v>-50.293962446699879</v>
      </c>
    </row>
    <row r="39" spans="1:16" x14ac:dyDescent="0.35">
      <c r="A39">
        <v>2018</v>
      </c>
      <c r="B39">
        <v>1</v>
      </c>
      <c r="C39" s="7">
        <v>6512</v>
      </c>
      <c r="D39" s="20">
        <v>-2.4638657979480266E-2</v>
      </c>
      <c r="E39" s="7">
        <v>4813</v>
      </c>
      <c r="F39" s="6">
        <v>413</v>
      </c>
      <c r="G39" s="7">
        <v>14481</v>
      </c>
      <c r="H39" s="7">
        <v>5980653</v>
      </c>
      <c r="I39" s="7">
        <v>1474.2042000000001</v>
      </c>
      <c r="J39" s="7">
        <v>5465218.4500000002</v>
      </c>
      <c r="K39" s="7">
        <v>5946</v>
      </c>
      <c r="N39" s="7">
        <v>6512</v>
      </c>
      <c r="O39" s="30">
        <v>6604.4526601793996</v>
      </c>
      <c r="P39" s="30">
        <v>-92.452660179399572</v>
      </c>
    </row>
    <row r="40" spans="1:16" x14ac:dyDescent="0.35">
      <c r="B40">
        <v>2</v>
      </c>
      <c r="C40" s="7">
        <v>6535</v>
      </c>
      <c r="D40" s="20">
        <v>3.5319410319410321E-3</v>
      </c>
      <c r="E40" s="7">
        <v>4830</v>
      </c>
      <c r="F40" s="6">
        <v>426</v>
      </c>
      <c r="G40" s="7">
        <v>14191</v>
      </c>
      <c r="H40" s="7">
        <v>6045366</v>
      </c>
      <c r="I40" s="7">
        <v>1463.1666500000001</v>
      </c>
      <c r="J40" s="7">
        <v>5079390.625</v>
      </c>
      <c r="K40" s="7">
        <v>5967</v>
      </c>
      <c r="N40" s="7">
        <v>6535</v>
      </c>
      <c r="O40" s="30">
        <v>6548.81673197905</v>
      </c>
      <c r="P40" s="30">
        <v>-13.816731979050019</v>
      </c>
    </row>
    <row r="41" spans="1:16" x14ac:dyDescent="0.35">
      <c r="A41">
        <v>2019</v>
      </c>
      <c r="B41">
        <v>1</v>
      </c>
      <c r="C41" s="7">
        <v>6558</v>
      </c>
      <c r="D41" s="20">
        <v>3.5195103289977045E-3</v>
      </c>
      <c r="E41" s="7">
        <v>4847</v>
      </c>
      <c r="F41" s="6">
        <v>439</v>
      </c>
      <c r="G41" s="7">
        <v>13901</v>
      </c>
      <c r="H41" s="7">
        <v>6102539</v>
      </c>
      <c r="I41" s="7">
        <v>1452.1290999999999</v>
      </c>
      <c r="J41" s="7">
        <v>4693562.8</v>
      </c>
      <c r="K41" s="7">
        <v>5988</v>
      </c>
      <c r="N41" s="7">
        <v>6558</v>
      </c>
      <c r="O41" s="30">
        <v>6492.7118157787008</v>
      </c>
      <c r="P41" s="30">
        <v>65.288184221299161</v>
      </c>
    </row>
    <row r="42" spans="1:16" x14ac:dyDescent="0.35">
      <c r="B42">
        <v>2</v>
      </c>
      <c r="C42" s="7">
        <v>6377.5</v>
      </c>
      <c r="D42" s="20">
        <v>-2.7523635254650809E-2</v>
      </c>
      <c r="E42" s="7">
        <v>4815</v>
      </c>
      <c r="F42" s="6">
        <v>445.75</v>
      </c>
      <c r="G42" s="7">
        <v>14003</v>
      </c>
      <c r="H42" s="7">
        <v>6241837.25</v>
      </c>
      <c r="I42" s="7">
        <v>1457.9535000000001</v>
      </c>
      <c r="J42" s="7">
        <v>4937949.22</v>
      </c>
      <c r="K42" s="7">
        <v>5823</v>
      </c>
      <c r="N42" s="7">
        <v>6377.5</v>
      </c>
      <c r="O42" s="30">
        <v>6361.6421695994995</v>
      </c>
      <c r="P42" s="30">
        <v>15.857830400500461</v>
      </c>
    </row>
    <row r="43" spans="1:16" x14ac:dyDescent="0.35">
      <c r="A43">
        <v>2020</v>
      </c>
      <c r="B43">
        <v>1</v>
      </c>
      <c r="C43" s="7">
        <v>6197</v>
      </c>
      <c r="D43" s="20">
        <v>-2.8302626421011369E-2</v>
      </c>
      <c r="E43" s="7">
        <v>4783</v>
      </c>
      <c r="F43" s="6">
        <v>452.5</v>
      </c>
      <c r="G43" s="7">
        <v>14105</v>
      </c>
      <c r="H43" s="7">
        <v>6382512.5</v>
      </c>
      <c r="I43" s="7">
        <v>1463.7779</v>
      </c>
      <c r="J43" s="7">
        <v>5182335.6399999997</v>
      </c>
      <c r="K43" s="7">
        <v>5658</v>
      </c>
      <c r="N43" s="7">
        <v>6197</v>
      </c>
      <c r="O43" s="30">
        <v>6230.6581728203</v>
      </c>
      <c r="P43" s="30">
        <v>-33.658172820300024</v>
      </c>
    </row>
    <row r="44" spans="1:16" x14ac:dyDescent="0.35">
      <c r="B44">
        <v>2</v>
      </c>
      <c r="C44" s="7">
        <v>6287.25</v>
      </c>
      <c r="D44" s="20">
        <v>1.4563498467000162E-2</v>
      </c>
      <c r="E44" s="7">
        <v>4799</v>
      </c>
      <c r="F44" s="6">
        <v>408</v>
      </c>
      <c r="G44" s="7">
        <v>14054</v>
      </c>
      <c r="H44" s="7">
        <v>5734032</v>
      </c>
      <c r="I44" s="7">
        <v>1460.8657000000001</v>
      </c>
      <c r="J44" s="7">
        <v>5060142.43</v>
      </c>
      <c r="K44" s="7">
        <v>5740.5</v>
      </c>
      <c r="N44" s="7">
        <v>6287.25</v>
      </c>
      <c r="O44" s="30">
        <v>6260.1896843848999</v>
      </c>
      <c r="P44" s="30">
        <v>27.06031561510008</v>
      </c>
    </row>
    <row r="45" spans="1:16" x14ac:dyDescent="0.35">
      <c r="A45">
        <v>2021</v>
      </c>
      <c r="B45">
        <v>1</v>
      </c>
      <c r="C45" s="7">
        <v>7029.09651567944</v>
      </c>
      <c r="D45" s="20">
        <v>0.11799220894340769</v>
      </c>
      <c r="E45" s="7">
        <v>5219.9430894308998</v>
      </c>
      <c r="F45" s="6">
        <v>340.18292682926801</v>
      </c>
      <c r="G45" s="7">
        <v>14357.947735191599</v>
      </c>
      <c r="H45" s="7">
        <v>4884328.6838191384</v>
      </c>
      <c r="I45" s="7">
        <v>1440.5019531939599</v>
      </c>
      <c r="J45" s="7">
        <v>5407356.0376771204</v>
      </c>
      <c r="K45" s="7">
        <v>6452.8977932636499</v>
      </c>
      <c r="N45" s="7">
        <v>7029.09651567944</v>
      </c>
      <c r="O45" s="30">
        <v>7050.8695269668833</v>
      </c>
      <c r="P45" s="30">
        <v>-21.773011287443296</v>
      </c>
    </row>
    <row r="46" spans="1:16" x14ac:dyDescent="0.35">
      <c r="B46">
        <v>2</v>
      </c>
      <c r="C46" s="7">
        <v>7149.7423669070604</v>
      </c>
      <c r="D46" s="20">
        <v>1.716377787081198E-2</v>
      </c>
      <c r="E46" s="7">
        <v>5310.1060016746396</v>
      </c>
      <c r="F46" s="6">
        <v>341.62997325986498</v>
      </c>
      <c r="G46" s="7">
        <v>14525.765902277</v>
      </c>
      <c r="H46" s="7">
        <v>4962437.0167739503</v>
      </c>
      <c r="I46" s="7">
        <v>1460.46828152635</v>
      </c>
      <c r="J46" s="7">
        <v>5508303.4631393999</v>
      </c>
      <c r="K46" s="7">
        <v>6561.9655754531004</v>
      </c>
      <c r="N46" s="7">
        <v>7149.7423669070604</v>
      </c>
      <c r="O46" s="30">
        <v>7171.350774835475</v>
      </c>
      <c r="P46" s="30">
        <v>-21.608407928414636</v>
      </c>
    </row>
    <row r="47" spans="1:16" x14ac:dyDescent="0.35">
      <c r="A47">
        <v>2022</v>
      </c>
      <c r="B47">
        <v>1</v>
      </c>
      <c r="C47" s="7">
        <v>7270.3882181346698</v>
      </c>
      <c r="D47" s="20">
        <v>1.6874153645874683E-2</v>
      </c>
      <c r="E47" s="7">
        <v>5400.2689139183803</v>
      </c>
      <c r="F47" s="6">
        <v>343.07701969046298</v>
      </c>
      <c r="G47" s="7">
        <v>14693.584069362299</v>
      </c>
      <c r="H47" s="7">
        <v>5041031.0310880831</v>
      </c>
      <c r="I47" s="7">
        <v>1480.43460985874</v>
      </c>
      <c r="J47" s="7">
        <v>5609250.8886016803</v>
      </c>
      <c r="K47" s="7">
        <v>6671.0333576425501</v>
      </c>
      <c r="N47" s="7">
        <v>7270.3882181346698</v>
      </c>
      <c r="O47" s="30">
        <v>7291.8622320846152</v>
      </c>
      <c r="P47" s="30">
        <v>-21.474013949945402</v>
      </c>
    </row>
    <row r="48" spans="1:16" x14ac:dyDescent="0.35">
      <c r="B48">
        <v>2</v>
      </c>
      <c r="C48" s="7">
        <v>7391.0340693622902</v>
      </c>
      <c r="D48" s="20">
        <v>1.6594141551711239E-2</v>
      </c>
      <c r="E48" s="7">
        <v>5490.4318261621202</v>
      </c>
      <c r="F48" s="6">
        <v>344.52406612106</v>
      </c>
      <c r="G48" s="7">
        <v>14861.4022364476</v>
      </c>
      <c r="H48" s="7">
        <v>5120110.7267615423</v>
      </c>
      <c r="I48" s="7">
        <v>1500.4009381911201</v>
      </c>
      <c r="J48" s="7">
        <v>5710198.3140639598</v>
      </c>
      <c r="K48" s="7">
        <v>6780.1011398319997</v>
      </c>
      <c r="N48" s="7">
        <v>7391.0340693622902</v>
      </c>
      <c r="O48" s="30">
        <v>7412.403898714314</v>
      </c>
      <c r="P48" s="30">
        <v>-21.369829352023771</v>
      </c>
    </row>
    <row r="49" spans="1:17" x14ac:dyDescent="0.35">
      <c r="A49" s="37">
        <v>2023</v>
      </c>
      <c r="B49" s="37"/>
      <c r="C49" s="7">
        <v>7511.6799205898997</v>
      </c>
      <c r="D49" s="20">
        <v>1.6323270884072514E-2</v>
      </c>
      <c r="E49" s="7"/>
      <c r="F49" s="6"/>
      <c r="G49" s="7"/>
      <c r="H49" s="7"/>
      <c r="I49" s="7"/>
      <c r="J49" s="7"/>
      <c r="K49" s="7"/>
      <c r="N49" s="7"/>
      <c r="O49" s="30"/>
      <c r="P49" s="30"/>
    </row>
    <row r="50" spans="1:17" x14ac:dyDescent="0.35">
      <c r="A50" s="37">
        <v>2024</v>
      </c>
      <c r="B50" s="37"/>
      <c r="C50" s="7">
        <v>7632.32577181752</v>
      </c>
      <c r="D50" s="20">
        <v>1.6061101178835364E-2</v>
      </c>
      <c r="P50" s="30">
        <v>-1655.3388611681798</v>
      </c>
    </row>
    <row r="51" spans="1:17" x14ac:dyDescent="0.35">
      <c r="A51" s="37">
        <v>2025</v>
      </c>
      <c r="B51" s="37"/>
      <c r="C51" s="7">
        <v>7752.9716230451304</v>
      </c>
      <c r="D51" s="20">
        <v>1.5807219821918114E-2</v>
      </c>
      <c r="H51" t="s">
        <v>173</v>
      </c>
      <c r="P51" s="30">
        <v>-17.517163434726193</v>
      </c>
      <c r="Q51">
        <v>17.517163434726193</v>
      </c>
    </row>
    <row r="52" spans="1:17" x14ac:dyDescent="0.35">
      <c r="A52" s="37">
        <v>2026</v>
      </c>
      <c r="B52" s="37"/>
      <c r="C52" s="7">
        <v>7873.6174742727499</v>
      </c>
      <c r="D52" s="20">
        <v>1.5561239882396662E-2</v>
      </c>
      <c r="H52" t="s">
        <v>174</v>
      </c>
      <c r="L52" t="s">
        <v>310</v>
      </c>
      <c r="P52">
        <v>4.185351052746495</v>
      </c>
    </row>
    <row r="53" spans="1:17" x14ac:dyDescent="0.35">
      <c r="A53" s="37">
        <v>2027</v>
      </c>
      <c r="B53" s="37"/>
      <c r="C53" s="7">
        <v>7994.2633255003602</v>
      </c>
      <c r="D53" s="20">
        <v>1.5322798144794795E-2</v>
      </c>
      <c r="L53" t="s">
        <v>115</v>
      </c>
      <c r="M53">
        <v>-0.27840399999999998</v>
      </c>
    </row>
    <row r="54" spans="1:17" x14ac:dyDescent="0.35">
      <c r="A54" s="37"/>
      <c r="B54" s="37"/>
      <c r="C54" s="7"/>
      <c r="D54" s="16">
        <v>5.7435680405209258E-2</v>
      </c>
      <c r="H54" t="s">
        <v>175</v>
      </c>
      <c r="L54" t="s">
        <v>116</v>
      </c>
      <c r="M54" s="30">
        <v>6.2199999999999994E-5</v>
      </c>
    </row>
    <row r="55" spans="1:17" x14ac:dyDescent="0.35">
      <c r="A55" s="37"/>
      <c r="B55" s="37"/>
      <c r="C55" s="7"/>
      <c r="D55" s="20"/>
      <c r="H55" t="s">
        <v>176</v>
      </c>
      <c r="L55" t="s">
        <v>111</v>
      </c>
      <c r="M55">
        <v>-0.75174300000000005</v>
      </c>
    </row>
    <row r="56" spans="1:17" x14ac:dyDescent="0.35">
      <c r="A56" s="37"/>
      <c r="B56" s="37"/>
      <c r="C56" s="7"/>
      <c r="D56" s="20"/>
      <c r="L56" t="s">
        <v>118</v>
      </c>
      <c r="M56">
        <v>2.3000000000000001E-4</v>
      </c>
    </row>
    <row r="57" spans="1:17" x14ac:dyDescent="0.35">
      <c r="A57" s="37"/>
      <c r="B57" s="37"/>
      <c r="C57" s="7"/>
      <c r="D57" s="20"/>
      <c r="H57" t="s">
        <v>177</v>
      </c>
      <c r="L57" t="s">
        <v>119</v>
      </c>
      <c r="M57">
        <v>1.21499</v>
      </c>
    </row>
    <row r="58" spans="1:17" ht="15.5" x14ac:dyDescent="0.35">
      <c r="A58" s="37"/>
      <c r="B58" s="37"/>
      <c r="C58" s="7"/>
      <c r="D58" s="20"/>
      <c r="H58" t="s">
        <v>178</v>
      </c>
      <c r="L58" s="19" t="s">
        <v>333</v>
      </c>
      <c r="M58">
        <v>199.3064</v>
      </c>
    </row>
    <row r="59" spans="1:17" x14ac:dyDescent="0.35">
      <c r="H59" t="s">
        <v>179</v>
      </c>
    </row>
  </sheetData>
  <mergeCells count="1">
    <mergeCell ref="F1:G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17C6-0F13-48B3-9A46-B20CD1E7EB94}">
  <dimension ref="A1:C52"/>
  <sheetViews>
    <sheetView workbookViewId="0">
      <selection activeCell="C53" sqref="C53"/>
    </sheetView>
  </sheetViews>
  <sheetFormatPr defaultRowHeight="14.5" x14ac:dyDescent="0.35"/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 s="7">
        <f>'Persamaan 7'!C3</f>
        <v>2073</v>
      </c>
      <c r="C2">
        <f>'Persamaan 7'!O3</f>
        <v>2188.5558017956</v>
      </c>
    </row>
    <row r="3" spans="1:3" x14ac:dyDescent="0.35">
      <c r="A3">
        <v>2000</v>
      </c>
      <c r="B3" s="7">
        <f>'Persamaan 7'!C4</f>
        <v>2181.5</v>
      </c>
      <c r="C3">
        <f>'Persamaan 7'!O4</f>
        <v>2266.0005212903498</v>
      </c>
    </row>
    <row r="4" spans="1:3" x14ac:dyDescent="0.35">
      <c r="A4">
        <v>2001</v>
      </c>
      <c r="B4" s="7">
        <f>'Persamaan 7'!C5</f>
        <v>2290</v>
      </c>
      <c r="C4">
        <f>'Persamaan 7'!O5</f>
        <v>2343.4494859351003</v>
      </c>
    </row>
    <row r="5" spans="1:3" x14ac:dyDescent="0.35">
      <c r="A5">
        <v>2001</v>
      </c>
      <c r="B5" s="7">
        <f>'Persamaan 7'!C6</f>
        <v>2303</v>
      </c>
      <c r="C5">
        <f>'Persamaan 7'!O6</f>
        <v>2419.1367544110499</v>
      </c>
    </row>
    <row r="6" spans="1:3" x14ac:dyDescent="0.35">
      <c r="A6">
        <v>2002</v>
      </c>
      <c r="B6" s="7">
        <f>'Persamaan 7'!C7</f>
        <v>2316</v>
      </c>
      <c r="C6">
        <f>'Persamaan 7'!O7</f>
        <v>2494.7802962870001</v>
      </c>
    </row>
    <row r="7" spans="1:3" x14ac:dyDescent="0.35">
      <c r="A7">
        <v>2002</v>
      </c>
      <c r="B7" s="7">
        <f>'Persamaan 7'!C8</f>
        <v>2506</v>
      </c>
      <c r="C7">
        <f>'Persamaan 7'!O8</f>
        <v>2659.0166967689497</v>
      </c>
    </row>
    <row r="8" spans="1:3" x14ac:dyDescent="0.35">
      <c r="A8">
        <v>2003</v>
      </c>
      <c r="B8" s="7">
        <f>'Persamaan 7'!C9</f>
        <v>2696</v>
      </c>
      <c r="C8">
        <f>'Persamaan 7'!O9</f>
        <v>2823.2754892508997</v>
      </c>
    </row>
    <row r="9" spans="1:3" x14ac:dyDescent="0.35">
      <c r="A9">
        <v>2003</v>
      </c>
      <c r="B9" s="7">
        <f>'Persamaan 7'!C10</f>
        <v>2974</v>
      </c>
      <c r="C9">
        <f>'Persamaan 7'!O10</f>
        <v>2960.9409107726501</v>
      </c>
    </row>
    <row r="10" spans="1:3" x14ac:dyDescent="0.35">
      <c r="A10">
        <v>2004</v>
      </c>
      <c r="B10" s="7">
        <f>'Persamaan 7'!C11</f>
        <v>3252</v>
      </c>
      <c r="C10">
        <f>'Persamaan 7'!O11</f>
        <v>3098.5856507944</v>
      </c>
    </row>
    <row r="11" spans="1:3" x14ac:dyDescent="0.35">
      <c r="A11">
        <v>2004</v>
      </c>
      <c r="B11" s="7">
        <f>'Persamaan 7'!C12</f>
        <v>3191</v>
      </c>
      <c r="C11">
        <f>'Persamaan 7'!O12</f>
        <v>3116.2536275307998</v>
      </c>
    </row>
    <row r="12" spans="1:3" x14ac:dyDescent="0.35">
      <c r="A12">
        <v>2005</v>
      </c>
      <c r="B12" s="7">
        <f>'Persamaan 7'!C13</f>
        <v>3130</v>
      </c>
      <c r="C12">
        <f>'Persamaan 7'!O13</f>
        <v>3133.8791527672001</v>
      </c>
    </row>
    <row r="13" spans="1:3" x14ac:dyDescent="0.35">
      <c r="A13">
        <v>2005</v>
      </c>
      <c r="B13" s="7">
        <f>'Persamaan 7'!C14</f>
        <v>3209.5</v>
      </c>
      <c r="C13">
        <f>'Persamaan 7'!O14</f>
        <v>3212.5587791551998</v>
      </c>
    </row>
    <row r="14" spans="1:3" x14ac:dyDescent="0.35">
      <c r="A14">
        <v>2006</v>
      </c>
      <c r="B14" s="7">
        <f>'Persamaan 7'!C15</f>
        <v>3289</v>
      </c>
      <c r="C14">
        <f>'Persamaan 7'!O15</f>
        <v>3291.2436925432003</v>
      </c>
    </row>
    <row r="15" spans="1:3" x14ac:dyDescent="0.35">
      <c r="A15">
        <v>2006</v>
      </c>
      <c r="B15" s="7">
        <f>'Persamaan 7'!C16</f>
        <v>3441.5</v>
      </c>
      <c r="C15">
        <f>'Persamaan 7'!O16</f>
        <v>3449.8474156978</v>
      </c>
    </row>
    <row r="16" spans="1:3" x14ac:dyDescent="0.35">
      <c r="A16">
        <v>2007</v>
      </c>
      <c r="B16" s="7">
        <f>'Persamaan 7'!C17</f>
        <v>3594</v>
      </c>
      <c r="C16">
        <f>'Persamaan 7'!O17</f>
        <v>3608.4396163024003</v>
      </c>
    </row>
    <row r="17" spans="1:3" x14ac:dyDescent="0.35">
      <c r="A17">
        <v>2007</v>
      </c>
      <c r="B17" s="7">
        <f>'Persamaan 7'!C18</f>
        <v>3673</v>
      </c>
      <c r="C17">
        <f>'Persamaan 7'!O18</f>
        <v>3616.5110144935002</v>
      </c>
    </row>
    <row r="18" spans="1:3" x14ac:dyDescent="0.35">
      <c r="A18">
        <v>2008</v>
      </c>
      <c r="B18" s="7">
        <f>'Persamaan 7'!C19</f>
        <v>3752</v>
      </c>
      <c r="C18">
        <f>'Persamaan 7'!O19</f>
        <v>3624.4704215846</v>
      </c>
    </row>
    <row r="19" spans="1:3" x14ac:dyDescent="0.35">
      <c r="A19">
        <v>2008</v>
      </c>
      <c r="B19" s="7">
        <f>'Persamaan 7'!C20</f>
        <v>3887</v>
      </c>
      <c r="C19">
        <f>'Persamaan 7'!O20</f>
        <v>3790.9514887860496</v>
      </c>
    </row>
    <row r="20" spans="1:3" x14ac:dyDescent="0.35">
      <c r="A20">
        <v>2009</v>
      </c>
      <c r="B20" s="7">
        <f>'Persamaan 7'!C21</f>
        <v>4022</v>
      </c>
      <c r="C20">
        <f>'Persamaan 7'!O21</f>
        <v>3957.4704357875007</v>
      </c>
    </row>
    <row r="21" spans="1:3" x14ac:dyDescent="0.35">
      <c r="A21">
        <v>2009</v>
      </c>
      <c r="B21" s="7">
        <f>'Persamaan 7'!C22</f>
        <v>4108</v>
      </c>
      <c r="C21">
        <f>'Persamaan 7'!O22</f>
        <v>4117.4209758874995</v>
      </c>
    </row>
    <row r="22" spans="1:3" x14ac:dyDescent="0.35">
      <c r="A22">
        <v>2010</v>
      </c>
      <c r="B22" s="7">
        <f>'Persamaan 7'!C23</f>
        <v>4194</v>
      </c>
      <c r="C22">
        <f>'Persamaan 7'!O23</f>
        <v>4277.5722042875004</v>
      </c>
    </row>
    <row r="23" spans="1:3" x14ac:dyDescent="0.35">
      <c r="A23">
        <v>2010</v>
      </c>
      <c r="B23" s="7">
        <f>'Persamaan 7'!C24</f>
        <v>4270.5</v>
      </c>
      <c r="C23">
        <f>'Persamaan 7'!O24</f>
        <v>4348.1927369792502</v>
      </c>
    </row>
    <row r="24" spans="1:3" x14ac:dyDescent="0.35">
      <c r="A24">
        <v>2011</v>
      </c>
      <c r="B24" s="7">
        <f>'Persamaan 7'!C25</f>
        <v>4347</v>
      </c>
      <c r="C24">
        <f>'Persamaan 7'!O25</f>
        <v>4418.6310547710009</v>
      </c>
    </row>
    <row r="25" spans="1:3" x14ac:dyDescent="0.35">
      <c r="A25">
        <v>2011</v>
      </c>
      <c r="B25" s="7">
        <f>'Persamaan 7'!C26</f>
        <v>4520.6499999999996</v>
      </c>
      <c r="C25">
        <f>'Persamaan 7'!O26</f>
        <v>4546.4796983917004</v>
      </c>
    </row>
    <row r="26" spans="1:3" x14ac:dyDescent="0.35">
      <c r="A26">
        <v>2012</v>
      </c>
      <c r="B26" s="7">
        <f>'Persamaan 7'!C27</f>
        <v>4694.2999999999993</v>
      </c>
      <c r="C26">
        <f>'Persamaan 7'!O27</f>
        <v>4672.4748442124001</v>
      </c>
    </row>
    <row r="27" spans="1:3" x14ac:dyDescent="0.35">
      <c r="A27">
        <v>2012</v>
      </c>
      <c r="B27" s="7">
        <f>'Persamaan 7'!C28</f>
        <v>4961.1499999999996</v>
      </c>
      <c r="C27">
        <f>'Persamaan 7'!O28</f>
        <v>4997.4941358945007</v>
      </c>
    </row>
    <row r="28" spans="1:3" x14ac:dyDescent="0.35">
      <c r="A28">
        <v>2013</v>
      </c>
      <c r="B28" s="7">
        <f>'Persamaan 7'!C29</f>
        <v>5228</v>
      </c>
      <c r="C28">
        <f>'Persamaan 7'!O29</f>
        <v>5332.3843809765995</v>
      </c>
    </row>
    <row r="29" spans="1:3" x14ac:dyDescent="0.35">
      <c r="A29">
        <v>2013</v>
      </c>
      <c r="B29" s="7">
        <f>'Persamaan 7'!C30</f>
        <v>5278</v>
      </c>
      <c r="C29">
        <f>'Persamaan 7'!O30</f>
        <v>5454.4919738553999</v>
      </c>
    </row>
    <row r="30" spans="1:3" x14ac:dyDescent="0.35">
      <c r="A30">
        <v>2014</v>
      </c>
      <c r="B30" s="7">
        <f>'Persamaan 7'!C31</f>
        <v>5328</v>
      </c>
      <c r="C30">
        <f>'Persamaan 7'!O31</f>
        <v>5576.6854338342</v>
      </c>
    </row>
    <row r="31" spans="1:3" x14ac:dyDescent="0.35">
      <c r="A31">
        <v>2014</v>
      </c>
      <c r="B31" s="7">
        <f>'Persamaan 7'!C32</f>
        <v>5477.5</v>
      </c>
      <c r="C31">
        <f>'Persamaan 7'!O32</f>
        <v>5688.5609997113497</v>
      </c>
    </row>
    <row r="32" spans="1:3" x14ac:dyDescent="0.35">
      <c r="A32">
        <v>2015</v>
      </c>
      <c r="B32" s="7">
        <f>'Persamaan 7'!C33</f>
        <v>5627</v>
      </c>
      <c r="C32">
        <f>'Persamaan 7'!O33</f>
        <v>5800.6894085884996</v>
      </c>
    </row>
    <row r="33" spans="1:3" x14ac:dyDescent="0.35">
      <c r="A33">
        <v>2015</v>
      </c>
      <c r="B33" s="7">
        <f>'Persamaan 7'!C34</f>
        <v>5875</v>
      </c>
      <c r="C33">
        <f>'Persamaan 7'!O34</f>
        <v>5940.5141242948503</v>
      </c>
    </row>
    <row r="34" spans="1:3" x14ac:dyDescent="0.35">
      <c r="A34">
        <v>2016</v>
      </c>
      <c r="B34" s="7">
        <f>'Persamaan 7'!C35</f>
        <v>6123</v>
      </c>
      <c r="C34">
        <f>'Persamaan 7'!O35</f>
        <v>6079.9369036012004</v>
      </c>
    </row>
    <row r="35" spans="1:3" x14ac:dyDescent="0.35">
      <c r="A35">
        <v>2016</v>
      </c>
      <c r="B35" s="7">
        <f>'Persamaan 7'!C36</f>
        <v>6482</v>
      </c>
      <c r="C35">
        <f>'Persamaan 7'!O36</f>
        <v>6465.1871782075996</v>
      </c>
    </row>
    <row r="36" spans="1:3" x14ac:dyDescent="0.35">
      <c r="A36">
        <v>2017</v>
      </c>
      <c r="B36" s="7">
        <f>'Persamaan 7'!C37</f>
        <v>6841</v>
      </c>
      <c r="C36">
        <f>'Persamaan 7'!O37</f>
        <v>6850.6150960140003</v>
      </c>
    </row>
    <row r="37" spans="1:3" x14ac:dyDescent="0.35">
      <c r="A37">
        <v>2017</v>
      </c>
      <c r="B37" s="7">
        <f>'Persamaan 7'!C38</f>
        <v>6676.5</v>
      </c>
      <c r="C37">
        <f>'Persamaan 7'!O38</f>
        <v>6726.7939624466999</v>
      </c>
    </row>
    <row r="38" spans="1:3" x14ac:dyDescent="0.35">
      <c r="A38">
        <v>2018</v>
      </c>
      <c r="B38" s="7">
        <f>'Persamaan 7'!C39</f>
        <v>6512</v>
      </c>
      <c r="C38">
        <f>'Persamaan 7'!O39</f>
        <v>6604.4526601793996</v>
      </c>
    </row>
    <row r="39" spans="1:3" x14ac:dyDescent="0.35">
      <c r="A39">
        <v>2018</v>
      </c>
      <c r="B39" s="7">
        <f>'Persamaan 7'!C40</f>
        <v>6535</v>
      </c>
      <c r="C39">
        <f>'Persamaan 7'!O40</f>
        <v>6548.81673197905</v>
      </c>
    </row>
    <row r="40" spans="1:3" x14ac:dyDescent="0.35">
      <c r="A40">
        <v>2019</v>
      </c>
      <c r="B40" s="7">
        <f>'Persamaan 7'!C41</f>
        <v>6558</v>
      </c>
      <c r="C40">
        <f>'Persamaan 7'!O41</f>
        <v>6492.7118157787008</v>
      </c>
    </row>
    <row r="41" spans="1:3" x14ac:dyDescent="0.35">
      <c r="A41">
        <v>2019</v>
      </c>
      <c r="B41" s="7">
        <f>'Persamaan 7'!C42</f>
        <v>6377.5</v>
      </c>
      <c r="C41">
        <f>'Persamaan 7'!O42</f>
        <v>6361.6421695994995</v>
      </c>
    </row>
    <row r="42" spans="1:3" x14ac:dyDescent="0.35">
      <c r="A42">
        <v>2020</v>
      </c>
      <c r="B42" s="7">
        <f>'Persamaan 7'!C43</f>
        <v>6197</v>
      </c>
      <c r="C42">
        <f>'Persamaan 7'!O43</f>
        <v>6230.6581728203</v>
      </c>
    </row>
    <row r="43" spans="1:3" x14ac:dyDescent="0.35">
      <c r="A43">
        <v>2020</v>
      </c>
      <c r="B43" s="7">
        <f>'Persamaan 7'!C44</f>
        <v>6287.25</v>
      </c>
      <c r="C43">
        <f>'Persamaan 7'!O44</f>
        <v>6260.1896843848999</v>
      </c>
    </row>
    <row r="44" spans="1:3" x14ac:dyDescent="0.35">
      <c r="A44">
        <v>2021</v>
      </c>
      <c r="B44" s="7">
        <f>'Persamaan 7'!C45</f>
        <v>7029.09651567944</v>
      </c>
      <c r="C44">
        <f>'Persamaan 7'!O45</f>
        <v>7050.8695269668833</v>
      </c>
    </row>
    <row r="45" spans="1:3" x14ac:dyDescent="0.35">
      <c r="A45">
        <v>2021</v>
      </c>
      <c r="B45" s="7">
        <f>'Persamaan 7'!C46</f>
        <v>7149.7423669070604</v>
      </c>
      <c r="C45">
        <f>'Persamaan 7'!O46</f>
        <v>7171.350774835475</v>
      </c>
    </row>
    <row r="46" spans="1:3" x14ac:dyDescent="0.35">
      <c r="A46">
        <v>2022</v>
      </c>
      <c r="B46" s="7">
        <f>'Persamaan 7'!C47</f>
        <v>7270.3882181346698</v>
      </c>
      <c r="C46">
        <f>'Persamaan 7'!O47</f>
        <v>7291.8622320846152</v>
      </c>
    </row>
    <row r="47" spans="1:3" x14ac:dyDescent="0.35">
      <c r="A47">
        <v>2022</v>
      </c>
      <c r="B47" s="7">
        <f>'Persamaan 7'!C48</f>
        <v>7391.0340693622902</v>
      </c>
      <c r="C47">
        <f>'Persamaan 7'!O48</f>
        <v>7412.403898714314</v>
      </c>
    </row>
    <row r="48" spans="1:3" x14ac:dyDescent="0.35">
      <c r="A48">
        <v>2023</v>
      </c>
      <c r="B48" s="7">
        <f>'Persamaan 7'!C49</f>
        <v>7511.6799205898997</v>
      </c>
    </row>
    <row r="49" spans="1:2" x14ac:dyDescent="0.35">
      <c r="A49">
        <v>2024</v>
      </c>
      <c r="B49" s="7">
        <f>'Persamaan 7'!C50</f>
        <v>7632.32577181752</v>
      </c>
    </row>
    <row r="50" spans="1:2" x14ac:dyDescent="0.35">
      <c r="A50">
        <v>2025</v>
      </c>
      <c r="B50" s="7">
        <f>'Persamaan 7'!C51</f>
        <v>7752.9716230451304</v>
      </c>
    </row>
    <row r="51" spans="1:2" x14ac:dyDescent="0.35">
      <c r="A51">
        <v>2026</v>
      </c>
      <c r="B51" s="7">
        <f>'Persamaan 7'!C52</f>
        <v>7873.6174742727499</v>
      </c>
    </row>
    <row r="52" spans="1:2" x14ac:dyDescent="0.35">
      <c r="A52">
        <v>2027</v>
      </c>
      <c r="B52" s="7">
        <f>'Persamaan 7'!C53</f>
        <v>7994.2633255003602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3697-53F4-4592-A34D-821E9055C5CF}">
  <dimension ref="A1:M18"/>
  <sheetViews>
    <sheetView topLeftCell="A15" workbookViewId="0">
      <selection activeCell="A10" sqref="A10:F18"/>
    </sheetView>
  </sheetViews>
  <sheetFormatPr defaultRowHeight="14.5" x14ac:dyDescent="0.35"/>
  <cols>
    <col min="1" max="1" width="13.81640625" bestFit="1" customWidth="1"/>
    <col min="2" max="2" width="13.26953125" customWidth="1"/>
    <col min="6" max="6" width="11" customWidth="1"/>
    <col min="8" max="8" width="12.90625" bestFit="1" customWidth="1"/>
    <col min="9" max="9" width="10.26953125" bestFit="1" customWidth="1"/>
    <col min="11" max="11" width="11.81640625" bestFit="1" customWidth="1"/>
    <col min="12" max="12" width="9.26953125" bestFit="1" customWidth="1"/>
  </cols>
  <sheetData>
    <row r="1" spans="1:13" ht="31.5" thickBot="1" x14ac:dyDescent="0.4">
      <c r="A1" s="70" t="s">
        <v>441</v>
      </c>
      <c r="B1" s="71" t="s">
        <v>442</v>
      </c>
    </row>
    <row r="2" spans="1:13" ht="15.5" x14ac:dyDescent="0.35">
      <c r="A2" t="s">
        <v>115</v>
      </c>
      <c r="B2" s="27">
        <v>-0.27840399999999998</v>
      </c>
      <c r="G2" s="78" t="s">
        <v>114</v>
      </c>
      <c r="H2" t="s">
        <v>115</v>
      </c>
      <c r="I2" t="s">
        <v>116</v>
      </c>
      <c r="J2" t="s">
        <v>111</v>
      </c>
      <c r="K2" t="s">
        <v>118</v>
      </c>
      <c r="L2" t="s">
        <v>119</v>
      </c>
      <c r="M2" s="77"/>
    </row>
    <row r="3" spans="1:13" ht="14.5" customHeight="1" x14ac:dyDescent="0.35">
      <c r="A3" t="s">
        <v>116</v>
      </c>
      <c r="B3" s="27">
        <v>6.2199999999999994E-5</v>
      </c>
      <c r="F3" t="s">
        <v>459</v>
      </c>
      <c r="G3" s="11">
        <f>AVERAGE('Persamaan 7'!C3:C48)</f>
        <v>4676.5024167409447</v>
      </c>
      <c r="H3" s="11">
        <f>AVERAGE('Persamaan 7'!E3:E48)</f>
        <v>3461.7663006779571</v>
      </c>
      <c r="I3" s="11">
        <f>AVERAGE('Persamaan 7'!H3:H48)</f>
        <v>3538110.8958357112</v>
      </c>
      <c r="J3" s="11">
        <f>AVERAGE('Persamaan 7'!I3:I48)</f>
        <v>1051.158550712395</v>
      </c>
      <c r="K3" s="11">
        <f>AVERAGE('Persamaan 7'!J3:J48)</f>
        <v>3438881.2411626559</v>
      </c>
      <c r="L3" s="11">
        <f>AVERAGE('Persamaan 7'!K3:K48)</f>
        <v>4326.0760405693763</v>
      </c>
    </row>
    <row r="4" spans="1:13" ht="29" x14ac:dyDescent="0.35">
      <c r="A4" t="s">
        <v>111</v>
      </c>
      <c r="B4" s="27">
        <v>-0.75174300000000005</v>
      </c>
      <c r="F4" s="80" t="s">
        <v>460</v>
      </c>
      <c r="H4">
        <f>H3/$G$3</f>
        <v>0.74024687516155774</v>
      </c>
      <c r="I4">
        <f t="shared" ref="I4:L4" si="0">I3/$G$3</f>
        <v>756.57202339294872</v>
      </c>
      <c r="J4">
        <f t="shared" si="0"/>
        <v>0.22477451245389232</v>
      </c>
      <c r="K4">
        <f t="shared" si="0"/>
        <v>735.35324794276767</v>
      </c>
      <c r="L4">
        <f t="shared" si="0"/>
        <v>0.92506656792967501</v>
      </c>
    </row>
    <row r="5" spans="1:13" x14ac:dyDescent="0.35">
      <c r="A5" t="s">
        <v>118</v>
      </c>
      <c r="B5" s="27">
        <v>2.3000000000000001E-4</v>
      </c>
      <c r="F5" t="s">
        <v>461</v>
      </c>
      <c r="H5" s="27">
        <v>-0.27840399999999998</v>
      </c>
      <c r="I5" s="27">
        <v>6.2199999999999994E-5</v>
      </c>
      <c r="J5" s="27">
        <v>-0.75174300000000005</v>
      </c>
      <c r="K5" s="27">
        <v>2.3000000000000001E-4</v>
      </c>
      <c r="L5" s="27">
        <v>1.21499</v>
      </c>
    </row>
    <row r="6" spans="1:13" x14ac:dyDescent="0.35">
      <c r="A6" t="s">
        <v>119</v>
      </c>
      <c r="B6" s="27">
        <v>1.21499</v>
      </c>
      <c r="F6" t="s">
        <v>462</v>
      </c>
      <c r="H6">
        <f>H5*H4</f>
        <v>-0.20608769103247832</v>
      </c>
      <c r="I6">
        <f t="shared" ref="I6:L6" si="1">I5*I4</f>
        <v>4.7058779855041408E-2</v>
      </c>
      <c r="J6">
        <f t="shared" si="1"/>
        <v>-0.16897266631562638</v>
      </c>
      <c r="K6">
        <f t="shared" si="1"/>
        <v>0.16913124702683657</v>
      </c>
      <c r="L6">
        <f t="shared" si="1"/>
        <v>1.1239466293688758</v>
      </c>
    </row>
    <row r="7" spans="1:13" ht="14.5" customHeight="1" thickBot="1" x14ac:dyDescent="0.4">
      <c r="A7" s="74" t="s">
        <v>333</v>
      </c>
      <c r="B7" s="27">
        <v>199.3064</v>
      </c>
      <c r="F7" t="s">
        <v>463</v>
      </c>
    </row>
    <row r="8" spans="1:13" ht="14.5" customHeight="1" x14ac:dyDescent="0.35"/>
    <row r="10" spans="1:13" ht="31" customHeight="1" x14ac:dyDescent="0.35">
      <c r="A10" s="110" t="s">
        <v>441</v>
      </c>
      <c r="B10" s="110" t="s">
        <v>526</v>
      </c>
      <c r="C10" s="110" t="s">
        <v>443</v>
      </c>
      <c r="D10" s="112" t="s">
        <v>625</v>
      </c>
      <c r="E10" s="112"/>
      <c r="F10" s="110" t="s">
        <v>444</v>
      </c>
    </row>
    <row r="11" spans="1:13" ht="15.5" x14ac:dyDescent="0.35">
      <c r="A11" s="111"/>
      <c r="B11" s="111"/>
      <c r="C11" s="111"/>
      <c r="D11" s="92" t="s">
        <v>626</v>
      </c>
      <c r="E11" s="92" t="s">
        <v>627</v>
      </c>
      <c r="F11" s="111"/>
    </row>
    <row r="12" spans="1:13" ht="62" x14ac:dyDescent="0.35">
      <c r="A12" s="67" t="s">
        <v>115</v>
      </c>
      <c r="B12" s="67" t="s">
        <v>547</v>
      </c>
      <c r="C12" s="84" t="s">
        <v>548</v>
      </c>
      <c r="D12" s="72">
        <v>-0.20608769103247832</v>
      </c>
      <c r="E12" s="69"/>
      <c r="F12" s="69" t="s">
        <v>549</v>
      </c>
    </row>
    <row r="13" spans="1:13" ht="170.5" x14ac:dyDescent="0.35">
      <c r="A13" s="90" t="s">
        <v>209</v>
      </c>
      <c r="B13" s="90" t="s">
        <v>550</v>
      </c>
      <c r="C13" s="90" t="s">
        <v>551</v>
      </c>
      <c r="D13" s="72">
        <v>4.7058779855041408E-2</v>
      </c>
      <c r="E13" s="69"/>
      <c r="F13" s="69" t="s">
        <v>637</v>
      </c>
    </row>
    <row r="14" spans="1:13" ht="93" x14ac:dyDescent="0.35">
      <c r="A14" s="67" t="s">
        <v>111</v>
      </c>
      <c r="B14" s="67" t="s">
        <v>553</v>
      </c>
      <c r="C14" s="84" t="s">
        <v>554</v>
      </c>
      <c r="D14" s="72">
        <v>-0.16897266631562638</v>
      </c>
      <c r="E14" s="69"/>
      <c r="F14" s="69" t="s">
        <v>555</v>
      </c>
    </row>
    <row r="15" spans="1:13" ht="62" x14ac:dyDescent="0.35">
      <c r="A15" s="67" t="s">
        <v>118</v>
      </c>
      <c r="B15" s="67" t="s">
        <v>556</v>
      </c>
      <c r="C15" s="84" t="s">
        <v>557</v>
      </c>
      <c r="D15" s="72">
        <v>0.16913124702683657</v>
      </c>
      <c r="E15" s="69"/>
      <c r="F15" s="69" t="s">
        <v>25</v>
      </c>
    </row>
    <row r="16" spans="1:13" ht="93" x14ac:dyDescent="0.35">
      <c r="A16" s="67" t="s">
        <v>119</v>
      </c>
      <c r="B16" s="68">
        <v>12459</v>
      </c>
      <c r="C16" s="84" t="s">
        <v>475</v>
      </c>
      <c r="D16" s="72">
        <v>1.1239466293688758</v>
      </c>
      <c r="E16" s="69"/>
      <c r="F16" s="69" t="s">
        <v>558</v>
      </c>
    </row>
    <row r="17" spans="1:6" ht="15.5" x14ac:dyDescent="0.35">
      <c r="A17" s="67" t="s">
        <v>456</v>
      </c>
      <c r="B17" s="68">
        <v>203306</v>
      </c>
      <c r="C17" s="69" t="s">
        <v>559</v>
      </c>
      <c r="D17" s="69"/>
      <c r="E17" s="69"/>
      <c r="F17" s="69"/>
    </row>
    <row r="18" spans="1:6" ht="15.5" x14ac:dyDescent="0.35">
      <c r="A18" s="109" t="s">
        <v>560</v>
      </c>
      <c r="B18" s="109"/>
      <c r="C18" s="109"/>
      <c r="D18" s="109"/>
      <c r="E18" s="109"/>
      <c r="F18" s="109"/>
    </row>
  </sheetData>
  <mergeCells count="6">
    <mergeCell ref="A18:F18"/>
    <mergeCell ref="A10:A11"/>
    <mergeCell ref="B10:B11"/>
    <mergeCell ref="C10:C11"/>
    <mergeCell ref="D10:E10"/>
    <mergeCell ref="F10:F1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62"/>
  <sheetViews>
    <sheetView topLeftCell="K32" workbookViewId="0">
      <selection activeCell="P2" sqref="P2"/>
    </sheetView>
  </sheetViews>
  <sheetFormatPr defaultRowHeight="14.5" x14ac:dyDescent="0.35"/>
  <cols>
    <col min="8" max="8" width="19.1796875" bestFit="1" customWidth="1"/>
    <col min="9" max="9" width="10.7265625" bestFit="1" customWidth="1"/>
    <col min="10" max="10" width="10.08984375" bestFit="1" customWidth="1"/>
    <col min="13" max="13" width="21.81640625" customWidth="1"/>
  </cols>
  <sheetData>
    <row r="1" spans="1:23" x14ac:dyDescent="0.35">
      <c r="C1" t="s">
        <v>67</v>
      </c>
      <c r="E1" t="s">
        <v>115</v>
      </c>
      <c r="F1" t="s">
        <v>116</v>
      </c>
      <c r="J1" t="s">
        <v>120</v>
      </c>
      <c r="M1" t="s">
        <v>121</v>
      </c>
      <c r="Q1" t="s">
        <v>109</v>
      </c>
      <c r="R1" t="s">
        <v>124</v>
      </c>
    </row>
    <row r="2" spans="1:23" x14ac:dyDescent="0.35">
      <c r="F2" t="s">
        <v>103</v>
      </c>
      <c r="G2" t="s">
        <v>117</v>
      </c>
      <c r="H2" t="s">
        <v>116</v>
      </c>
      <c r="I2" t="s">
        <v>112</v>
      </c>
      <c r="J2" t="s">
        <v>84</v>
      </c>
      <c r="K2" t="s">
        <v>85</v>
      </c>
      <c r="L2" t="s">
        <v>120</v>
      </c>
      <c r="M2" t="s">
        <v>122</v>
      </c>
      <c r="N2" t="s">
        <v>118</v>
      </c>
      <c r="O2" t="s">
        <v>123</v>
      </c>
      <c r="P2" t="s">
        <v>121</v>
      </c>
      <c r="U2" t="s">
        <v>334</v>
      </c>
      <c r="V2" t="s">
        <v>335</v>
      </c>
    </row>
    <row r="3" spans="1:23" x14ac:dyDescent="0.35">
      <c r="A3">
        <v>2000</v>
      </c>
      <c r="B3">
        <v>1</v>
      </c>
      <c r="C3" s="7">
        <v>1890</v>
      </c>
      <c r="D3" s="7"/>
      <c r="E3" s="7">
        <v>1406</v>
      </c>
      <c r="F3" s="6">
        <v>363.5</v>
      </c>
      <c r="G3" s="7">
        <v>8719</v>
      </c>
      <c r="H3" s="7">
        <v>3169356.5</v>
      </c>
      <c r="I3" s="7">
        <v>687</v>
      </c>
      <c r="J3">
        <v>11773.751340000001</v>
      </c>
      <c r="K3" s="7">
        <v>38995</v>
      </c>
      <c r="L3" s="7">
        <v>50768.751340000003</v>
      </c>
      <c r="M3">
        <v>758.726</v>
      </c>
      <c r="N3" s="7">
        <v>1483290</v>
      </c>
      <c r="O3" s="7">
        <v>1397439</v>
      </c>
      <c r="P3" s="20">
        <v>8.8377071903647016E-3</v>
      </c>
      <c r="Q3">
        <v>2000</v>
      </c>
      <c r="R3" s="7">
        <v>1872</v>
      </c>
      <c r="U3" s="7">
        <v>1890</v>
      </c>
      <c r="V3" s="30">
        <v>1771.703339059075</v>
      </c>
      <c r="W3" s="30">
        <v>118.29666094092499</v>
      </c>
    </row>
    <row r="4" spans="1:23" x14ac:dyDescent="0.35">
      <c r="B4">
        <v>2</v>
      </c>
      <c r="C4" s="7">
        <v>1984.5</v>
      </c>
      <c r="D4" s="20">
        <v>0.05</v>
      </c>
      <c r="E4" s="7">
        <v>1636.5</v>
      </c>
      <c r="F4" s="6">
        <v>365.25</v>
      </c>
      <c r="G4" s="7">
        <v>8719</v>
      </c>
      <c r="H4" s="7">
        <v>3184614.75</v>
      </c>
      <c r="I4" s="7">
        <v>692</v>
      </c>
      <c r="J4">
        <v>12646.390070000001</v>
      </c>
      <c r="K4" s="7">
        <v>72088.5</v>
      </c>
      <c r="L4" s="7">
        <v>84734.890069999994</v>
      </c>
      <c r="M4">
        <v>764.50300000000004</v>
      </c>
      <c r="N4" s="7">
        <v>1579179</v>
      </c>
      <c r="O4" s="7">
        <v>1440364.5</v>
      </c>
      <c r="P4" s="20">
        <v>5.5073713480940393E-3</v>
      </c>
      <c r="Q4">
        <v>2000</v>
      </c>
      <c r="R4" s="7">
        <v>1890</v>
      </c>
      <c r="U4" s="7">
        <v>1984.5</v>
      </c>
      <c r="V4" s="30">
        <v>1946.5396415430505</v>
      </c>
      <c r="W4" s="30">
        <v>37.960358456949507</v>
      </c>
    </row>
    <row r="5" spans="1:23" x14ac:dyDescent="0.35">
      <c r="A5">
        <v>2001</v>
      </c>
      <c r="B5">
        <v>1</v>
      </c>
      <c r="C5" s="7">
        <v>2079</v>
      </c>
      <c r="D5" s="20">
        <v>4.7619047619047616E-2</v>
      </c>
      <c r="E5" s="7">
        <v>1867</v>
      </c>
      <c r="F5" s="6">
        <v>367</v>
      </c>
      <c r="G5" s="7">
        <v>8719</v>
      </c>
      <c r="H5" s="7">
        <v>3199873</v>
      </c>
      <c r="I5" s="7">
        <v>616</v>
      </c>
      <c r="J5">
        <v>13519.0288</v>
      </c>
      <c r="K5" s="7">
        <v>105182</v>
      </c>
      <c r="L5" s="7">
        <v>118701.0288</v>
      </c>
      <c r="M5">
        <v>770.28</v>
      </c>
      <c r="N5" s="7">
        <v>1675068</v>
      </c>
      <c r="O5" s="7">
        <v>1483290</v>
      </c>
      <c r="P5" s="20">
        <v>4.0165191002096172E-3</v>
      </c>
      <c r="Q5">
        <v>2001</v>
      </c>
      <c r="R5" s="7">
        <v>2079</v>
      </c>
      <c r="U5" s="7">
        <v>2079</v>
      </c>
      <c r="V5" s="30">
        <v>2188.2882768940653</v>
      </c>
      <c r="W5" s="30">
        <v>-109.28827689406535</v>
      </c>
    </row>
    <row r="6" spans="1:23" x14ac:dyDescent="0.35">
      <c r="B6">
        <v>2</v>
      </c>
      <c r="C6" s="7">
        <v>2146.5</v>
      </c>
      <c r="D6" s="20">
        <v>3.2467532467532464E-2</v>
      </c>
      <c r="E6" s="7">
        <v>1824</v>
      </c>
      <c r="F6" s="6">
        <v>348.5</v>
      </c>
      <c r="G6" s="7">
        <v>8719</v>
      </c>
      <c r="H6" s="7">
        <v>3038571.5</v>
      </c>
      <c r="I6" s="7">
        <v>654</v>
      </c>
      <c r="J6">
        <v>14886.79412</v>
      </c>
      <c r="K6" s="7">
        <v>92691</v>
      </c>
      <c r="L6" s="7">
        <v>107577.79412000001</v>
      </c>
      <c r="M6">
        <v>778.14</v>
      </c>
      <c r="N6" s="7">
        <v>1730833</v>
      </c>
      <c r="O6" s="7">
        <v>1579179</v>
      </c>
      <c r="P6" s="20">
        <v>5.1310219315019714E-3</v>
      </c>
      <c r="Q6">
        <v>2001</v>
      </c>
      <c r="R6" s="7">
        <v>1984.5</v>
      </c>
      <c r="U6" s="7">
        <v>2146.5</v>
      </c>
      <c r="V6" s="30">
        <v>2128.0157233049208</v>
      </c>
      <c r="W6" s="30">
        <v>18.484276695079188</v>
      </c>
    </row>
    <row r="7" spans="1:23" x14ac:dyDescent="0.35">
      <c r="A7">
        <v>2002</v>
      </c>
      <c r="B7">
        <v>1</v>
      </c>
      <c r="C7" s="7">
        <v>2214</v>
      </c>
      <c r="D7" s="20">
        <v>3.1446540880503145E-2</v>
      </c>
      <c r="E7" s="7">
        <v>1781</v>
      </c>
      <c r="F7" s="6">
        <v>330</v>
      </c>
      <c r="G7" s="7">
        <v>8719</v>
      </c>
      <c r="H7" s="7">
        <v>2877270</v>
      </c>
      <c r="I7" s="7">
        <v>635</v>
      </c>
      <c r="J7">
        <v>16254.559440000001</v>
      </c>
      <c r="K7" s="7">
        <v>80200</v>
      </c>
      <c r="L7" s="7">
        <v>96454.559439999997</v>
      </c>
      <c r="M7">
        <v>786</v>
      </c>
      <c r="N7" s="7">
        <v>1786598</v>
      </c>
      <c r="O7" s="7">
        <v>1675068</v>
      </c>
      <c r="P7" s="20">
        <v>7.0474311844346809E-3</v>
      </c>
      <c r="Q7">
        <v>2002</v>
      </c>
      <c r="R7" s="7">
        <v>2146.5</v>
      </c>
      <c r="U7" s="7">
        <v>2214</v>
      </c>
      <c r="V7" s="30">
        <v>2167.1069167813448</v>
      </c>
      <c r="W7" s="30">
        <v>46.893083218655192</v>
      </c>
    </row>
    <row r="8" spans="1:23" x14ac:dyDescent="0.35">
      <c r="B8">
        <v>2</v>
      </c>
      <c r="C8" s="7">
        <v>2366.5</v>
      </c>
      <c r="D8" s="20">
        <v>6.8879855465221324E-2</v>
      </c>
      <c r="E8" s="7">
        <v>2011</v>
      </c>
      <c r="F8" s="6">
        <v>340</v>
      </c>
      <c r="G8" s="7">
        <v>8719</v>
      </c>
      <c r="H8" s="7">
        <v>2964460</v>
      </c>
      <c r="I8" s="7">
        <v>634</v>
      </c>
      <c r="J8">
        <v>17288.462625</v>
      </c>
      <c r="K8" s="7">
        <v>74413</v>
      </c>
      <c r="L8" s="7">
        <v>91701.462625</v>
      </c>
      <c r="M8">
        <v>795.25199999999995</v>
      </c>
      <c r="N8" s="7">
        <v>1855002</v>
      </c>
      <c r="O8" s="7">
        <v>1730833</v>
      </c>
      <c r="P8" s="20">
        <v>6.4045937391780557E-3</v>
      </c>
      <c r="Q8">
        <v>2002</v>
      </c>
      <c r="R8" s="7">
        <v>2366.5</v>
      </c>
      <c r="U8" s="7">
        <v>2366.5</v>
      </c>
      <c r="V8" s="30">
        <v>2433.209031339758</v>
      </c>
      <c r="W8" s="30">
        <v>-66.709031339757985</v>
      </c>
    </row>
    <row r="9" spans="1:23" x14ac:dyDescent="0.35">
      <c r="A9">
        <v>2003</v>
      </c>
      <c r="B9">
        <v>1</v>
      </c>
      <c r="C9" s="7">
        <v>2519</v>
      </c>
      <c r="D9" s="20">
        <v>6.4441157828016057E-2</v>
      </c>
      <c r="E9" s="7">
        <v>2241</v>
      </c>
      <c r="F9" s="6">
        <v>350</v>
      </c>
      <c r="G9" s="7">
        <v>8719</v>
      </c>
      <c r="H9" s="7">
        <v>3051650</v>
      </c>
      <c r="I9" s="7">
        <v>654</v>
      </c>
      <c r="J9">
        <v>18322.365809999999</v>
      </c>
      <c r="K9" s="7">
        <v>68626</v>
      </c>
      <c r="L9" s="7">
        <v>86948.365810000003</v>
      </c>
      <c r="M9">
        <v>804.50400000000002</v>
      </c>
      <c r="N9" s="7">
        <v>1923406</v>
      </c>
      <c r="O9" s="7">
        <v>1786598</v>
      </c>
      <c r="P9" s="20">
        <v>5.8805333021460732E-3</v>
      </c>
      <c r="Q9">
        <v>2003</v>
      </c>
      <c r="R9" s="7">
        <v>2214</v>
      </c>
      <c r="U9" s="7">
        <v>2519</v>
      </c>
      <c r="V9" s="30">
        <v>2555.7850335626608</v>
      </c>
      <c r="W9" s="30">
        <v>-36.785033562660828</v>
      </c>
    </row>
    <row r="10" spans="1:23" x14ac:dyDescent="0.35">
      <c r="B10">
        <v>2</v>
      </c>
      <c r="C10" s="7">
        <v>2630</v>
      </c>
      <c r="D10" s="20">
        <v>4.4065105200476379E-2</v>
      </c>
      <c r="E10" s="7">
        <v>2235</v>
      </c>
      <c r="F10" s="6">
        <v>340.5</v>
      </c>
      <c r="G10" s="7">
        <v>8719</v>
      </c>
      <c r="H10" s="7">
        <v>2968819.5</v>
      </c>
      <c r="I10" s="7">
        <v>614</v>
      </c>
      <c r="J10">
        <v>20403.870524999998</v>
      </c>
      <c r="K10" s="7">
        <v>87708</v>
      </c>
      <c r="L10" s="7">
        <v>108111.87052500001</v>
      </c>
      <c r="M10">
        <v>844.28700000000003</v>
      </c>
      <c r="N10" s="7">
        <v>1951855.5</v>
      </c>
      <c r="O10" s="7">
        <v>1855002</v>
      </c>
      <c r="P10" s="20">
        <v>8.7171552912388307E-3</v>
      </c>
      <c r="Q10">
        <v>2003</v>
      </c>
      <c r="R10" s="7">
        <v>2519</v>
      </c>
      <c r="U10" s="7">
        <v>2630</v>
      </c>
      <c r="V10" s="30">
        <v>2664.0418481125221</v>
      </c>
      <c r="W10" s="30">
        <v>-34.041848112522075</v>
      </c>
    </row>
    <row r="11" spans="1:23" x14ac:dyDescent="0.35">
      <c r="A11">
        <v>2004</v>
      </c>
      <c r="B11">
        <v>1</v>
      </c>
      <c r="C11" s="7">
        <v>2741</v>
      </c>
      <c r="D11" s="20">
        <v>4.2205323193916351E-2</v>
      </c>
      <c r="E11" s="7">
        <v>2229</v>
      </c>
      <c r="F11" s="6">
        <v>331</v>
      </c>
      <c r="G11" s="7">
        <v>8719</v>
      </c>
      <c r="H11" s="7">
        <v>2885989</v>
      </c>
      <c r="I11" s="7">
        <v>534</v>
      </c>
      <c r="J11">
        <v>22485.375240000001</v>
      </c>
      <c r="K11" s="7">
        <v>106790</v>
      </c>
      <c r="L11" s="7">
        <v>129275.37523999999</v>
      </c>
      <c r="M11">
        <v>884.07</v>
      </c>
      <c r="N11" s="7">
        <v>1980305</v>
      </c>
      <c r="O11" s="7">
        <v>1923406</v>
      </c>
      <c r="P11" s="20">
        <v>1.5537531415314857E-2</v>
      </c>
      <c r="Q11">
        <v>2004</v>
      </c>
      <c r="R11" s="7">
        <v>2741</v>
      </c>
      <c r="U11" s="7">
        <v>2741</v>
      </c>
      <c r="V11" s="30">
        <v>2741.842589312002</v>
      </c>
      <c r="W11" s="30">
        <v>-0.84258931200201914</v>
      </c>
    </row>
    <row r="12" spans="1:23" x14ac:dyDescent="0.35">
      <c r="B12">
        <v>2</v>
      </c>
      <c r="C12" s="7">
        <v>2770.5</v>
      </c>
      <c r="D12" s="20">
        <v>1.0762495439620576E-2</v>
      </c>
      <c r="E12" s="7">
        <v>2354.5</v>
      </c>
      <c r="F12" s="6">
        <v>311.5</v>
      </c>
      <c r="G12" s="7">
        <v>8719</v>
      </c>
      <c r="H12" s="7">
        <v>2715968.5</v>
      </c>
      <c r="I12" s="7">
        <v>574</v>
      </c>
      <c r="J12">
        <v>23650.181779999999</v>
      </c>
      <c r="K12" s="7">
        <v>98420</v>
      </c>
      <c r="L12" s="7">
        <v>122070.18178</v>
      </c>
      <c r="M12">
        <v>890.80150000000003</v>
      </c>
      <c r="N12" s="7">
        <v>1991053</v>
      </c>
      <c r="O12" s="7">
        <v>1951855.5</v>
      </c>
      <c r="P12" s="20">
        <v>2.2725977422029468E-2</v>
      </c>
      <c r="Q12">
        <v>2004</v>
      </c>
      <c r="R12" s="7">
        <v>2630</v>
      </c>
      <c r="U12" s="7">
        <v>2770.5</v>
      </c>
      <c r="V12" s="30">
        <v>2809.7640533848571</v>
      </c>
      <c r="W12" s="30">
        <v>-39.264053384857107</v>
      </c>
    </row>
    <row r="13" spans="1:23" x14ac:dyDescent="0.35">
      <c r="A13">
        <v>2005</v>
      </c>
      <c r="B13">
        <v>1</v>
      </c>
      <c r="C13" s="7">
        <v>2800</v>
      </c>
      <c r="D13" s="20">
        <v>1.0647897491427541E-2</v>
      </c>
      <c r="E13" s="7">
        <v>2480</v>
      </c>
      <c r="F13" s="6">
        <v>292</v>
      </c>
      <c r="G13" s="7">
        <v>8719</v>
      </c>
      <c r="H13" s="7">
        <v>2545948</v>
      </c>
      <c r="I13" s="7">
        <v>538</v>
      </c>
      <c r="J13">
        <v>24814.98832</v>
      </c>
      <c r="K13" s="7">
        <v>90050</v>
      </c>
      <c r="L13" s="7">
        <v>114864.98832</v>
      </c>
      <c r="M13">
        <v>897.53300000000002</v>
      </c>
      <c r="N13" s="7">
        <v>2001801</v>
      </c>
      <c r="O13" s="7">
        <v>1980305</v>
      </c>
      <c r="P13" s="20">
        <v>4.1753489021213251E-2</v>
      </c>
      <c r="Q13">
        <v>2005</v>
      </c>
      <c r="R13" s="7">
        <v>2770.5</v>
      </c>
      <c r="U13" s="7">
        <v>2800</v>
      </c>
      <c r="V13" s="30">
        <v>2978.7503087415093</v>
      </c>
      <c r="W13" s="30">
        <v>-178.75030874150934</v>
      </c>
    </row>
    <row r="14" spans="1:23" x14ac:dyDescent="0.35">
      <c r="B14">
        <v>2</v>
      </c>
      <c r="C14" s="7">
        <v>2830</v>
      </c>
      <c r="D14" s="20">
        <v>1.0714285714285714E-2</v>
      </c>
      <c r="E14" s="7">
        <v>2405.5</v>
      </c>
      <c r="F14" s="6">
        <v>294.5</v>
      </c>
      <c r="G14" s="7">
        <v>8719</v>
      </c>
      <c r="H14" s="7">
        <v>2567745.5</v>
      </c>
      <c r="I14" s="7">
        <v>521.5</v>
      </c>
      <c r="J14">
        <v>25194.384485000002</v>
      </c>
      <c r="K14" s="7">
        <v>96778</v>
      </c>
      <c r="L14" s="7">
        <v>121972.384485</v>
      </c>
      <c r="M14">
        <v>911.41250000000002</v>
      </c>
      <c r="N14" s="7">
        <v>2091648.5</v>
      </c>
      <c r="O14" s="7">
        <v>1991053</v>
      </c>
      <c r="P14" s="20">
        <v>9.0601716776595384E-3</v>
      </c>
      <c r="Q14">
        <v>2005</v>
      </c>
      <c r="R14" s="7">
        <v>2830</v>
      </c>
      <c r="U14" s="7">
        <v>2830</v>
      </c>
      <c r="V14" s="30">
        <v>2928.5341136001625</v>
      </c>
      <c r="W14" s="30">
        <v>-98.534113600162527</v>
      </c>
    </row>
    <row r="15" spans="1:23" x14ac:dyDescent="0.35">
      <c r="A15">
        <v>2006</v>
      </c>
      <c r="B15">
        <v>1</v>
      </c>
      <c r="C15" s="7">
        <v>2860</v>
      </c>
      <c r="D15" s="20">
        <v>1.0600706713780919E-2</v>
      </c>
      <c r="E15" s="7">
        <v>2331</v>
      </c>
      <c r="F15" s="6">
        <v>297</v>
      </c>
      <c r="G15" s="7">
        <v>8719</v>
      </c>
      <c r="H15" s="7">
        <v>2589543</v>
      </c>
      <c r="I15" s="7">
        <v>542</v>
      </c>
      <c r="J15">
        <v>25573.780650000001</v>
      </c>
      <c r="K15" s="7">
        <v>103506</v>
      </c>
      <c r="L15" s="7">
        <v>129079.78065</v>
      </c>
      <c r="M15">
        <v>925.29200000000003</v>
      </c>
      <c r="N15" s="7">
        <v>2181496</v>
      </c>
      <c r="O15" s="7">
        <v>2001801</v>
      </c>
      <c r="P15" s="20">
        <v>5.1492362057931496E-3</v>
      </c>
      <c r="Q15">
        <v>2006</v>
      </c>
      <c r="R15" s="7">
        <v>2800</v>
      </c>
      <c r="U15" s="7">
        <v>2860</v>
      </c>
      <c r="V15" s="30">
        <v>2852.7987133079323</v>
      </c>
      <c r="W15" s="30">
        <v>7.201286692067697</v>
      </c>
    </row>
    <row r="16" spans="1:23" x14ac:dyDescent="0.35">
      <c r="B16">
        <v>2</v>
      </c>
      <c r="C16" s="7">
        <v>2993</v>
      </c>
      <c r="D16" s="20">
        <v>4.6503496503496507E-2</v>
      </c>
      <c r="E16" s="7">
        <v>2344</v>
      </c>
      <c r="F16" s="6">
        <v>287.25</v>
      </c>
      <c r="G16" s="7">
        <v>8719</v>
      </c>
      <c r="H16" s="7">
        <v>2504532.75</v>
      </c>
      <c r="I16" s="7">
        <v>501</v>
      </c>
      <c r="J16">
        <v>26924.379885000002</v>
      </c>
      <c r="K16" s="7">
        <v>113363.5</v>
      </c>
      <c r="L16" s="7">
        <v>140287.879885</v>
      </c>
      <c r="M16">
        <v>940.58600000000001</v>
      </c>
      <c r="N16" s="7">
        <v>2223487.5</v>
      </c>
      <c r="O16" s="7">
        <v>2091648.5</v>
      </c>
      <c r="P16" s="20">
        <v>7.1343532642086181E-3</v>
      </c>
      <c r="Q16">
        <v>2006</v>
      </c>
      <c r="R16" s="7">
        <v>2860</v>
      </c>
      <c r="U16" s="7">
        <v>2993</v>
      </c>
      <c r="V16" s="30">
        <v>2885.6138059161976</v>
      </c>
      <c r="W16" s="30">
        <v>107.38619408380237</v>
      </c>
    </row>
    <row r="17" spans="1:23" x14ac:dyDescent="0.35">
      <c r="A17">
        <v>2007</v>
      </c>
      <c r="B17">
        <v>1</v>
      </c>
      <c r="C17" s="7">
        <v>3126</v>
      </c>
      <c r="D17" s="20">
        <v>4.4437019712662881E-2</v>
      </c>
      <c r="E17" s="7">
        <v>2357</v>
      </c>
      <c r="F17" s="6">
        <v>277.5</v>
      </c>
      <c r="G17" s="7">
        <v>8719</v>
      </c>
      <c r="H17" s="7">
        <v>2419522.5</v>
      </c>
      <c r="I17" s="7">
        <v>222</v>
      </c>
      <c r="J17">
        <v>28274.97912</v>
      </c>
      <c r="K17" s="7">
        <v>123221</v>
      </c>
      <c r="L17" s="7">
        <v>151495.97912</v>
      </c>
      <c r="M17">
        <v>955.88</v>
      </c>
      <c r="N17" s="7">
        <v>2265479</v>
      </c>
      <c r="O17" s="7">
        <v>2181496</v>
      </c>
      <c r="P17" s="20">
        <v>1.1381827274567472E-2</v>
      </c>
      <c r="Q17">
        <v>2007</v>
      </c>
      <c r="R17" s="7">
        <v>3126</v>
      </c>
      <c r="U17" s="7">
        <v>3126</v>
      </c>
      <c r="V17" s="30">
        <v>2999.8822325996434</v>
      </c>
      <c r="W17" s="30">
        <v>126.11776740035657</v>
      </c>
    </row>
    <row r="18" spans="1:23" x14ac:dyDescent="0.35">
      <c r="B18">
        <v>2</v>
      </c>
      <c r="C18" s="7">
        <v>3194.5</v>
      </c>
      <c r="D18" s="20">
        <v>2.1912987843889956E-2</v>
      </c>
      <c r="E18" s="7">
        <v>2515</v>
      </c>
      <c r="F18" s="6">
        <v>208.25</v>
      </c>
      <c r="G18" s="7">
        <v>8719</v>
      </c>
      <c r="H18" s="7">
        <v>1815731.75</v>
      </c>
      <c r="I18" s="7">
        <v>361.5</v>
      </c>
      <c r="J18">
        <v>29770.17366</v>
      </c>
      <c r="K18" s="7">
        <v>132427</v>
      </c>
      <c r="L18" s="7">
        <v>162197.17366</v>
      </c>
      <c r="M18">
        <v>968.63850000000002</v>
      </c>
      <c r="N18" s="7">
        <v>2319315.5</v>
      </c>
      <c r="O18" s="7">
        <v>2223487.5</v>
      </c>
      <c r="P18" s="20">
        <v>1.0108094711357849E-2</v>
      </c>
      <c r="Q18">
        <v>2007</v>
      </c>
      <c r="R18" s="7">
        <v>2993</v>
      </c>
      <c r="U18" s="7">
        <v>3194.5</v>
      </c>
      <c r="V18" s="30">
        <v>3090.0051977274943</v>
      </c>
      <c r="W18" s="30">
        <v>104.49480227250569</v>
      </c>
    </row>
    <row r="19" spans="1:23" x14ac:dyDescent="0.35">
      <c r="A19">
        <v>2008</v>
      </c>
      <c r="B19">
        <v>1</v>
      </c>
      <c r="C19" s="7">
        <v>3263</v>
      </c>
      <c r="D19" s="20">
        <v>2.1443105337298481E-2</v>
      </c>
      <c r="E19" s="7">
        <v>2673</v>
      </c>
      <c r="F19" s="6">
        <v>139</v>
      </c>
      <c r="G19" s="7">
        <v>8719</v>
      </c>
      <c r="H19" s="7">
        <v>1211941</v>
      </c>
      <c r="I19" s="7">
        <v>263</v>
      </c>
      <c r="J19">
        <v>31265.368200000001</v>
      </c>
      <c r="K19" s="7">
        <v>141633</v>
      </c>
      <c r="L19" s="7">
        <v>172898.3682</v>
      </c>
      <c r="M19">
        <v>981.39700000000005</v>
      </c>
      <c r="N19" s="7">
        <v>2373152</v>
      </c>
      <c r="O19" s="7">
        <v>2265479</v>
      </c>
      <c r="P19" s="20">
        <v>9.1146062615511791E-3</v>
      </c>
      <c r="Q19">
        <v>2008</v>
      </c>
      <c r="R19" s="7">
        <v>3194.5</v>
      </c>
      <c r="U19" s="7">
        <v>3263</v>
      </c>
      <c r="V19" s="30">
        <v>3310.4323133360494</v>
      </c>
      <c r="W19" s="30">
        <v>-47.432313336049447</v>
      </c>
    </row>
    <row r="20" spans="1:23" x14ac:dyDescent="0.35">
      <c r="B20">
        <v>2</v>
      </c>
      <c r="C20" s="7">
        <v>3380.5</v>
      </c>
      <c r="D20" s="20">
        <v>3.6009806926141585E-2</v>
      </c>
      <c r="E20" s="7">
        <v>2773</v>
      </c>
      <c r="F20" s="6">
        <v>160</v>
      </c>
      <c r="G20" s="7">
        <v>8719</v>
      </c>
      <c r="H20" s="7">
        <v>1395040</v>
      </c>
      <c r="I20" s="7">
        <v>542</v>
      </c>
      <c r="J20">
        <v>32856.70203</v>
      </c>
      <c r="K20" s="7">
        <v>143823.5</v>
      </c>
      <c r="L20" s="7">
        <v>176680.20202999999</v>
      </c>
      <c r="M20">
        <v>1006.138</v>
      </c>
      <c r="N20" s="7">
        <v>2527491.5</v>
      </c>
      <c r="O20" s="7">
        <v>2319315.5</v>
      </c>
      <c r="P20" s="20">
        <v>4.83311236645915E-3</v>
      </c>
      <c r="Q20">
        <v>2008</v>
      </c>
      <c r="R20" s="7">
        <v>3380.5</v>
      </c>
      <c r="U20" s="7">
        <v>3380.5</v>
      </c>
      <c r="V20" s="30">
        <v>3450.5216773846469</v>
      </c>
      <c r="W20" s="30">
        <v>-70.021677384646864</v>
      </c>
    </row>
    <row r="21" spans="1:23" x14ac:dyDescent="0.35">
      <c r="A21">
        <v>2009</v>
      </c>
      <c r="B21">
        <v>1</v>
      </c>
      <c r="C21" s="7">
        <v>3498</v>
      </c>
      <c r="D21" s="20">
        <v>3.4758171868066852E-2</v>
      </c>
      <c r="E21" s="7">
        <v>2873</v>
      </c>
      <c r="F21" s="6">
        <v>181</v>
      </c>
      <c r="G21" s="7">
        <v>8719</v>
      </c>
      <c r="H21" s="7">
        <v>1578139</v>
      </c>
      <c r="I21" s="7">
        <v>304</v>
      </c>
      <c r="J21">
        <v>34448.035860000004</v>
      </c>
      <c r="K21" s="7">
        <v>146014</v>
      </c>
      <c r="L21" s="7">
        <v>180462.03586</v>
      </c>
      <c r="M21">
        <v>1030.8789999999999</v>
      </c>
      <c r="N21" s="7">
        <v>2681831</v>
      </c>
      <c r="O21" s="7">
        <v>2373152</v>
      </c>
      <c r="P21" s="20">
        <v>3.3396473359055844E-3</v>
      </c>
      <c r="Q21">
        <v>2009</v>
      </c>
      <c r="R21" s="7">
        <v>3263</v>
      </c>
      <c r="U21" s="7">
        <v>3498</v>
      </c>
      <c r="V21" s="30">
        <v>3477.687609169122</v>
      </c>
      <c r="W21" s="30">
        <v>20.31239083087803</v>
      </c>
    </row>
    <row r="22" spans="1:23" x14ac:dyDescent="0.35">
      <c r="B22">
        <v>2</v>
      </c>
      <c r="C22" s="7">
        <v>3572.5</v>
      </c>
      <c r="D22" s="20">
        <v>2.1297884505431675E-2</v>
      </c>
      <c r="E22" s="7">
        <v>2986</v>
      </c>
      <c r="F22" s="6">
        <v>300.5</v>
      </c>
      <c r="G22" s="7">
        <v>8719</v>
      </c>
      <c r="H22" s="7">
        <v>2620059.5</v>
      </c>
      <c r="I22" s="7">
        <v>780</v>
      </c>
      <c r="J22">
        <v>33728.431905000005</v>
      </c>
      <c r="K22" s="7">
        <v>153234.5</v>
      </c>
      <c r="L22" s="7">
        <v>186962.931905</v>
      </c>
      <c r="M22">
        <v>1046.8205</v>
      </c>
      <c r="N22" s="7">
        <v>2814449</v>
      </c>
      <c r="O22" s="7">
        <v>2527491.5</v>
      </c>
      <c r="P22" s="20">
        <v>3.6479983969751619E-3</v>
      </c>
      <c r="Q22">
        <v>2009</v>
      </c>
      <c r="R22" s="7">
        <v>3498</v>
      </c>
      <c r="U22" s="7">
        <v>3572.5</v>
      </c>
      <c r="V22" s="30">
        <v>3615.8643898617247</v>
      </c>
      <c r="W22" s="30">
        <v>-43.364389861724703</v>
      </c>
    </row>
    <row r="23" spans="1:23" x14ac:dyDescent="0.35">
      <c r="A23">
        <v>2010</v>
      </c>
      <c r="B23">
        <v>1</v>
      </c>
      <c r="C23" s="7">
        <v>3647</v>
      </c>
      <c r="D23" s="20">
        <v>2.0853743876836948E-2</v>
      </c>
      <c r="E23" s="7">
        <v>3099</v>
      </c>
      <c r="F23" s="6">
        <v>420</v>
      </c>
      <c r="G23" s="7">
        <v>8719</v>
      </c>
      <c r="H23" s="7">
        <v>3661980</v>
      </c>
      <c r="I23" s="7">
        <v>400</v>
      </c>
      <c r="J23">
        <v>33008.827949999999</v>
      </c>
      <c r="K23" s="7">
        <v>160455</v>
      </c>
      <c r="L23" s="7">
        <v>193463.82795000001</v>
      </c>
      <c r="M23">
        <v>1062.7619999999999</v>
      </c>
      <c r="N23" s="7">
        <v>2947067</v>
      </c>
      <c r="O23" s="7">
        <v>2681831</v>
      </c>
      <c r="P23" s="20">
        <v>4.006854273175587E-3</v>
      </c>
      <c r="Q23">
        <v>2010</v>
      </c>
      <c r="R23" s="7">
        <v>3647</v>
      </c>
      <c r="U23" s="7">
        <v>3647</v>
      </c>
      <c r="V23" s="30">
        <v>3726.005068252116</v>
      </c>
      <c r="W23" s="30">
        <v>-79.005068252115962</v>
      </c>
    </row>
    <row r="24" spans="1:23" x14ac:dyDescent="0.35">
      <c r="B24">
        <v>2</v>
      </c>
      <c r="C24" s="7">
        <v>3713.5</v>
      </c>
      <c r="D24" s="20">
        <v>1.8234165067178502E-2</v>
      </c>
      <c r="E24" s="7">
        <v>3156</v>
      </c>
      <c r="F24" s="6">
        <v>325.5</v>
      </c>
      <c r="G24" s="7">
        <v>8719</v>
      </c>
      <c r="H24" s="7">
        <v>2838034.5</v>
      </c>
      <c r="I24" s="7">
        <v>590</v>
      </c>
      <c r="J24">
        <v>33707.419095000005</v>
      </c>
      <c r="K24" s="7">
        <v>163798</v>
      </c>
      <c r="L24" s="7">
        <v>197505.41909500002</v>
      </c>
      <c r="M24">
        <v>1069.761</v>
      </c>
      <c r="N24" s="7">
        <v>3277235</v>
      </c>
      <c r="O24" s="7">
        <v>2814449</v>
      </c>
      <c r="P24" s="20">
        <v>2.311567333497556E-3</v>
      </c>
      <c r="Q24">
        <v>2010</v>
      </c>
      <c r="R24" s="7">
        <v>3572.5</v>
      </c>
      <c r="U24" s="7">
        <v>3713.5</v>
      </c>
      <c r="V24" s="30">
        <v>3768.4098012447603</v>
      </c>
      <c r="W24" s="30">
        <v>-54.909801244760274</v>
      </c>
    </row>
    <row r="25" spans="1:23" x14ac:dyDescent="0.35">
      <c r="A25">
        <v>2011</v>
      </c>
      <c r="B25">
        <v>1</v>
      </c>
      <c r="C25" s="7">
        <v>3780</v>
      </c>
      <c r="D25" s="20">
        <v>1.7907634307257305E-2</v>
      </c>
      <c r="E25" s="7">
        <v>3213</v>
      </c>
      <c r="F25" s="6">
        <v>231</v>
      </c>
      <c r="G25" s="7">
        <v>8719</v>
      </c>
      <c r="H25" s="7">
        <v>2014089</v>
      </c>
      <c r="I25" s="7">
        <v>300</v>
      </c>
      <c r="J25">
        <v>34406.010240000003</v>
      </c>
      <c r="K25" s="7">
        <v>167141</v>
      </c>
      <c r="L25" s="7">
        <v>201547.01024</v>
      </c>
      <c r="M25">
        <v>1076.76</v>
      </c>
      <c r="N25" s="7">
        <v>3607403</v>
      </c>
      <c r="O25" s="7">
        <v>2947067</v>
      </c>
      <c r="P25" s="20">
        <v>1.6306244093915825E-3</v>
      </c>
      <c r="Q25">
        <v>2011</v>
      </c>
      <c r="R25" s="7">
        <v>3713.5</v>
      </c>
      <c r="U25" s="7">
        <v>3780</v>
      </c>
      <c r="V25" s="30">
        <v>3896.9603920779091</v>
      </c>
      <c r="W25" s="30">
        <v>-116.96039207790909</v>
      </c>
    </row>
    <row r="26" spans="1:23" x14ac:dyDescent="0.35">
      <c r="B26">
        <v>2</v>
      </c>
      <c r="C26" s="7">
        <v>3931</v>
      </c>
      <c r="D26" s="20">
        <v>3.9947089947089946E-2</v>
      </c>
      <c r="E26" s="7">
        <v>3291</v>
      </c>
      <c r="F26" s="6">
        <v>181.5</v>
      </c>
      <c r="G26" s="7">
        <v>8719</v>
      </c>
      <c r="H26" s="7">
        <v>1582498.5</v>
      </c>
      <c r="I26" s="7">
        <v>325</v>
      </c>
      <c r="J26">
        <v>34964.248675000003</v>
      </c>
      <c r="K26" s="7">
        <v>165140.5</v>
      </c>
      <c r="L26" s="7">
        <v>200104.74867500001</v>
      </c>
      <c r="M26">
        <v>2201.241</v>
      </c>
      <c r="N26" s="7">
        <v>3661458</v>
      </c>
      <c r="O26" s="7">
        <v>3277235</v>
      </c>
      <c r="P26" s="20">
        <v>5.7290713986408934E-3</v>
      </c>
      <c r="Q26">
        <v>2011</v>
      </c>
      <c r="R26" s="7">
        <v>3931</v>
      </c>
      <c r="U26" s="7">
        <v>3931</v>
      </c>
      <c r="V26" s="30">
        <v>4059.6625546186888</v>
      </c>
      <c r="W26" s="30">
        <v>-128.66255461868877</v>
      </c>
    </row>
    <row r="27" spans="1:23" x14ac:dyDescent="0.35">
      <c r="A27">
        <v>2012</v>
      </c>
      <c r="B27">
        <v>1</v>
      </c>
      <c r="C27" s="7">
        <v>4082</v>
      </c>
      <c r="D27" s="20">
        <v>3.8412617654540827E-2</v>
      </c>
      <c r="E27" s="7">
        <v>3369</v>
      </c>
      <c r="F27" s="6">
        <v>132</v>
      </c>
      <c r="G27" s="7">
        <v>8719</v>
      </c>
      <c r="H27" s="7">
        <v>1150908</v>
      </c>
      <c r="I27" s="7">
        <v>200</v>
      </c>
      <c r="J27">
        <v>35522.487110000002</v>
      </c>
      <c r="K27" s="7">
        <v>163140</v>
      </c>
      <c r="L27" s="7">
        <v>198662.48710999999</v>
      </c>
      <c r="M27">
        <v>3325.7220000000002</v>
      </c>
      <c r="N27" s="7">
        <v>3715513</v>
      </c>
      <c r="O27" s="7">
        <v>3607403</v>
      </c>
      <c r="P27" s="20">
        <v>3.0762390158172233E-2</v>
      </c>
      <c r="Q27">
        <v>2012</v>
      </c>
      <c r="R27" s="7">
        <v>3780</v>
      </c>
      <c r="U27" s="7">
        <v>4082</v>
      </c>
      <c r="V27" s="30">
        <v>4088.0179506662544</v>
      </c>
      <c r="W27" s="30">
        <v>-6.0179506662543645</v>
      </c>
    </row>
    <row r="28" spans="1:23" x14ac:dyDescent="0.35">
      <c r="B28">
        <v>2</v>
      </c>
      <c r="C28" s="7">
        <v>4352.5</v>
      </c>
      <c r="D28" s="20">
        <v>6.6266536011758942E-2</v>
      </c>
      <c r="E28" s="7">
        <v>3599</v>
      </c>
      <c r="F28" s="6">
        <v>195</v>
      </c>
      <c r="G28" s="7">
        <v>8719</v>
      </c>
      <c r="H28" s="7">
        <v>1700205</v>
      </c>
      <c r="I28" s="7">
        <v>450</v>
      </c>
      <c r="J28">
        <v>35616.736675000007</v>
      </c>
      <c r="K28" s="7">
        <v>159839.5</v>
      </c>
      <c r="L28" s="7">
        <v>195456.23667499999</v>
      </c>
      <c r="M28">
        <v>3305.0745000000002</v>
      </c>
      <c r="N28" s="7">
        <v>3721596.5</v>
      </c>
      <c r="O28" s="7">
        <v>3661458</v>
      </c>
      <c r="P28" s="20">
        <v>5.4957714276212412E-2</v>
      </c>
      <c r="Q28">
        <v>2012</v>
      </c>
      <c r="R28" s="7">
        <v>4082</v>
      </c>
      <c r="U28" s="7">
        <v>4352.5</v>
      </c>
      <c r="V28" s="30">
        <v>4375.1864341857281</v>
      </c>
      <c r="W28" s="30">
        <v>-22.686434185728103</v>
      </c>
    </row>
    <row r="29" spans="1:23" x14ac:dyDescent="0.35">
      <c r="A29">
        <v>2013</v>
      </c>
      <c r="B29">
        <v>1</v>
      </c>
      <c r="C29" s="7">
        <v>4623</v>
      </c>
      <c r="D29" s="20">
        <v>6.2148190695002874E-2</v>
      </c>
      <c r="E29" s="7">
        <v>3829</v>
      </c>
      <c r="F29" s="6">
        <v>258</v>
      </c>
      <c r="G29" s="7">
        <v>8719</v>
      </c>
      <c r="H29" s="7">
        <v>2249502</v>
      </c>
      <c r="I29" s="7">
        <v>470</v>
      </c>
      <c r="J29">
        <v>35710.986240000006</v>
      </c>
      <c r="K29" s="7">
        <v>156539</v>
      </c>
      <c r="L29" s="7">
        <v>192249.98624</v>
      </c>
      <c r="M29">
        <v>3284.4270000000001</v>
      </c>
      <c r="N29" s="7">
        <v>3727680</v>
      </c>
      <c r="O29" s="7">
        <v>3715513</v>
      </c>
      <c r="P29" s="20">
        <v>0.26994550834223718</v>
      </c>
      <c r="Q29">
        <v>2013</v>
      </c>
      <c r="R29" s="7">
        <v>4623</v>
      </c>
      <c r="U29" s="7">
        <v>4623</v>
      </c>
      <c r="V29" s="30">
        <v>4816.4924558910079</v>
      </c>
      <c r="W29" s="30">
        <v>-193.49245589100792</v>
      </c>
    </row>
    <row r="30" spans="1:23" x14ac:dyDescent="0.35">
      <c r="B30">
        <v>2</v>
      </c>
      <c r="C30" s="7">
        <v>4780.5</v>
      </c>
      <c r="D30" s="20">
        <v>3.4068786502271249E-2</v>
      </c>
      <c r="E30" s="7">
        <v>3963</v>
      </c>
      <c r="F30" s="6">
        <v>263.5</v>
      </c>
      <c r="G30" s="7">
        <v>8719</v>
      </c>
      <c r="H30" s="7">
        <v>2297456.5</v>
      </c>
      <c r="I30" s="7">
        <v>460</v>
      </c>
      <c r="J30">
        <v>35308.20508</v>
      </c>
      <c r="K30" s="7">
        <v>148531</v>
      </c>
      <c r="L30" s="7">
        <v>183839.20507999999</v>
      </c>
      <c r="M30">
        <v>2743.681</v>
      </c>
      <c r="N30" s="7">
        <v>3679359.5</v>
      </c>
      <c r="O30" s="7">
        <v>3721596.5</v>
      </c>
      <c r="P30" s="20">
        <v>-6.4959182707105143E-2</v>
      </c>
      <c r="Q30">
        <v>2013</v>
      </c>
      <c r="R30" s="7">
        <v>4352.5</v>
      </c>
      <c r="U30" s="7">
        <v>4780.5</v>
      </c>
      <c r="V30" s="30">
        <v>4713.9181067022237</v>
      </c>
      <c r="W30" s="30">
        <v>66.581893297776332</v>
      </c>
    </row>
    <row r="31" spans="1:23" x14ac:dyDescent="0.35">
      <c r="A31">
        <v>2014</v>
      </c>
      <c r="B31">
        <v>1</v>
      </c>
      <c r="C31" s="7">
        <v>4938</v>
      </c>
      <c r="D31" s="20">
        <v>3.2946344524631313E-2</v>
      </c>
      <c r="E31" s="7">
        <v>4097</v>
      </c>
      <c r="F31" s="6">
        <v>269</v>
      </c>
      <c r="G31" s="7">
        <v>8719</v>
      </c>
      <c r="H31" s="7">
        <v>2345411</v>
      </c>
      <c r="I31" s="7">
        <v>475</v>
      </c>
      <c r="J31">
        <v>34905.423920000001</v>
      </c>
      <c r="K31" s="7">
        <v>140523</v>
      </c>
      <c r="L31" s="7">
        <v>175428.42392</v>
      </c>
      <c r="M31">
        <v>2202.9349999999999</v>
      </c>
      <c r="N31" s="7">
        <v>3631039</v>
      </c>
      <c r="O31" s="7">
        <v>3727680</v>
      </c>
      <c r="P31" s="20">
        <v>-2.2795035233493029E-2</v>
      </c>
      <c r="Q31">
        <v>2014</v>
      </c>
      <c r="R31" s="7">
        <v>4780.5</v>
      </c>
      <c r="U31" s="7">
        <v>4938</v>
      </c>
      <c r="V31" s="30">
        <v>5000.2203362879573</v>
      </c>
      <c r="W31" s="30">
        <v>-62.220336287957252</v>
      </c>
    </row>
    <row r="32" spans="1:23" x14ac:dyDescent="0.35">
      <c r="B32">
        <v>2</v>
      </c>
      <c r="C32" s="7">
        <v>5050.5</v>
      </c>
      <c r="D32" s="20">
        <v>2.2782503037667073E-2</v>
      </c>
      <c r="E32" s="7">
        <v>4192.5</v>
      </c>
      <c r="F32" s="6">
        <v>272</v>
      </c>
      <c r="G32" s="7">
        <v>8719</v>
      </c>
      <c r="H32" s="7">
        <v>2371568</v>
      </c>
      <c r="I32" s="7">
        <v>515</v>
      </c>
      <c r="J32">
        <v>36798.135745</v>
      </c>
      <c r="K32" s="7">
        <v>158236</v>
      </c>
      <c r="L32" s="7">
        <v>195034.13574500001</v>
      </c>
      <c r="M32">
        <v>2030.7049999999999</v>
      </c>
      <c r="N32" s="7">
        <v>3837934</v>
      </c>
      <c r="O32" s="7">
        <v>3679359.5</v>
      </c>
      <c r="P32" s="20">
        <v>1.2805999703609345E-2</v>
      </c>
      <c r="Q32">
        <v>2014</v>
      </c>
      <c r="R32" s="7">
        <v>5050.5</v>
      </c>
      <c r="U32" s="7">
        <v>5050.5</v>
      </c>
      <c r="V32" s="30">
        <v>5182.3865404488897</v>
      </c>
      <c r="W32" s="30">
        <v>-131.88654044888972</v>
      </c>
    </row>
    <row r="33" spans="1:23" x14ac:dyDescent="0.35">
      <c r="A33">
        <v>2015</v>
      </c>
      <c r="B33">
        <v>1</v>
      </c>
      <c r="C33" s="7">
        <v>5163</v>
      </c>
      <c r="D33" s="20">
        <v>2.2275022275022274E-2</v>
      </c>
      <c r="E33" s="7">
        <v>4288</v>
      </c>
      <c r="F33" s="6">
        <v>275</v>
      </c>
      <c r="G33" s="7">
        <v>8719</v>
      </c>
      <c r="H33" s="7">
        <v>2397725</v>
      </c>
      <c r="I33" s="7">
        <v>480</v>
      </c>
      <c r="J33">
        <v>38690.847569999998</v>
      </c>
      <c r="K33" s="7">
        <v>175949</v>
      </c>
      <c r="L33" s="7">
        <v>214639.84756999998</v>
      </c>
      <c r="M33">
        <v>1858.4749999999999</v>
      </c>
      <c r="N33" s="7">
        <v>4044829</v>
      </c>
      <c r="O33" s="7">
        <v>3631039</v>
      </c>
      <c r="P33" s="20">
        <v>4.4913482684453467E-3</v>
      </c>
      <c r="Q33">
        <v>2015</v>
      </c>
      <c r="R33" s="7">
        <v>4938</v>
      </c>
      <c r="U33" s="7">
        <v>5163</v>
      </c>
      <c r="V33" s="30">
        <v>5203.7241678404635</v>
      </c>
      <c r="W33" s="30">
        <v>-40.724167840463451</v>
      </c>
    </row>
    <row r="34" spans="1:23" x14ac:dyDescent="0.35">
      <c r="B34">
        <v>2</v>
      </c>
      <c r="C34" s="7">
        <v>5244</v>
      </c>
      <c r="D34" s="20">
        <v>1.568855316676351E-2</v>
      </c>
      <c r="E34" s="7">
        <v>4357</v>
      </c>
      <c r="F34" s="6">
        <v>293</v>
      </c>
      <c r="G34" s="7">
        <v>8719</v>
      </c>
      <c r="H34" s="7">
        <v>2554667</v>
      </c>
      <c r="I34" s="7">
        <v>550</v>
      </c>
      <c r="J34">
        <v>41281.796838000002</v>
      </c>
      <c r="K34" s="7">
        <v>199352</v>
      </c>
      <c r="L34" s="7">
        <v>240633.79683800001</v>
      </c>
      <c r="M34">
        <v>2351.9140000000002</v>
      </c>
      <c r="N34" s="7">
        <v>4327309.95</v>
      </c>
      <c r="O34" s="7">
        <v>3837934</v>
      </c>
      <c r="P34" s="20">
        <v>4.8059452042953877E-3</v>
      </c>
      <c r="Q34">
        <v>2015</v>
      </c>
      <c r="R34" s="7">
        <v>5163</v>
      </c>
      <c r="U34" s="7">
        <v>5244</v>
      </c>
      <c r="V34" s="30">
        <v>5328.9149937991333</v>
      </c>
      <c r="W34" s="30">
        <v>-84.914993799133299</v>
      </c>
    </row>
    <row r="35" spans="1:23" x14ac:dyDescent="0.35">
      <c r="A35">
        <v>2016</v>
      </c>
      <c r="B35">
        <v>1</v>
      </c>
      <c r="C35" s="7">
        <v>5325</v>
      </c>
      <c r="D35" s="20">
        <v>1.5446224256292907E-2</v>
      </c>
      <c r="E35" s="7">
        <v>4426</v>
      </c>
      <c r="F35" s="6">
        <v>311</v>
      </c>
      <c r="G35" s="7">
        <v>8719</v>
      </c>
      <c r="H35" s="7">
        <v>2711609</v>
      </c>
      <c r="I35" s="7">
        <v>650</v>
      </c>
      <c r="J35">
        <v>43872.746106000006</v>
      </c>
      <c r="K35" s="7">
        <v>222755</v>
      </c>
      <c r="L35" s="7">
        <v>266627.74610600004</v>
      </c>
      <c r="M35">
        <v>2845.3530000000001</v>
      </c>
      <c r="N35" s="7">
        <v>4609790.9000000004</v>
      </c>
      <c r="O35" s="7">
        <v>4044829</v>
      </c>
      <c r="P35" s="20">
        <v>5.0363626290551595E-3</v>
      </c>
      <c r="Q35">
        <v>2016</v>
      </c>
      <c r="R35" s="7">
        <v>5325</v>
      </c>
      <c r="U35" s="7">
        <v>5325</v>
      </c>
      <c r="V35" s="30">
        <v>5429.6419397271511</v>
      </c>
      <c r="W35" s="30">
        <v>-104.64193972715111</v>
      </c>
    </row>
    <row r="36" spans="1:23" x14ac:dyDescent="0.35">
      <c r="B36">
        <v>2</v>
      </c>
      <c r="C36" s="7">
        <v>5637</v>
      </c>
      <c r="D36" s="20">
        <v>5.8591549295774648E-2</v>
      </c>
      <c r="E36" s="7">
        <v>4741</v>
      </c>
      <c r="F36" s="6">
        <v>336.5</v>
      </c>
      <c r="G36" s="7">
        <v>8719</v>
      </c>
      <c r="H36" s="7">
        <v>2933943.5</v>
      </c>
      <c r="I36" s="7">
        <v>600</v>
      </c>
      <c r="J36">
        <v>45284.986402500006</v>
      </c>
      <c r="K36" s="7">
        <v>344581.05</v>
      </c>
      <c r="L36" s="7">
        <v>389866.0364025</v>
      </c>
      <c r="M36">
        <v>3085.5374999999999</v>
      </c>
      <c r="N36" s="7">
        <v>4872987.75</v>
      </c>
      <c r="O36" s="7">
        <v>4327309.95</v>
      </c>
      <c r="P36" s="20">
        <v>5.6545043613648949E-3</v>
      </c>
      <c r="Q36">
        <v>2016</v>
      </c>
      <c r="R36" s="7">
        <v>5244</v>
      </c>
      <c r="U36" s="7">
        <v>5637</v>
      </c>
      <c r="V36" s="30">
        <v>5591.9737781239164</v>
      </c>
      <c r="W36" s="30">
        <v>45.026221876083582</v>
      </c>
    </row>
    <row r="37" spans="1:23" x14ac:dyDescent="0.35">
      <c r="A37">
        <v>2017</v>
      </c>
      <c r="B37">
        <v>1</v>
      </c>
      <c r="C37" s="7">
        <v>5949</v>
      </c>
      <c r="D37" s="20">
        <v>5.534858967535923E-2</v>
      </c>
      <c r="E37" s="7">
        <v>5056</v>
      </c>
      <c r="F37" s="6">
        <v>362</v>
      </c>
      <c r="G37" s="7">
        <v>8719</v>
      </c>
      <c r="H37" s="7">
        <v>3156278</v>
      </c>
      <c r="I37" s="7">
        <v>700</v>
      </c>
      <c r="J37">
        <v>46697.226699000006</v>
      </c>
      <c r="K37" s="7">
        <v>466407.1</v>
      </c>
      <c r="L37" s="7">
        <v>513104.32669899997</v>
      </c>
      <c r="M37">
        <v>3325.7220000000002</v>
      </c>
      <c r="N37" s="7">
        <v>5136184.5999999996</v>
      </c>
      <c r="O37" s="7">
        <v>4609790.9000000004</v>
      </c>
      <c r="P37" s="20">
        <v>6.3179365558516465E-3</v>
      </c>
      <c r="Q37">
        <v>2017</v>
      </c>
      <c r="R37" s="7">
        <v>5637</v>
      </c>
      <c r="U37" s="7">
        <v>5949</v>
      </c>
      <c r="V37" s="30">
        <v>5935.9572380753843</v>
      </c>
      <c r="W37" s="30">
        <v>13.042761924615661</v>
      </c>
    </row>
    <row r="38" spans="1:23" x14ac:dyDescent="0.35">
      <c r="B38">
        <v>2</v>
      </c>
      <c r="C38" s="7">
        <v>5806</v>
      </c>
      <c r="D38" s="20">
        <v>-2.4037653387123888E-2</v>
      </c>
      <c r="E38" s="7">
        <v>4934.5</v>
      </c>
      <c r="F38" s="6">
        <v>387.5</v>
      </c>
      <c r="G38" s="7">
        <v>8719</v>
      </c>
      <c r="H38" s="7">
        <v>3378612.5</v>
      </c>
      <c r="I38" s="7">
        <v>775</v>
      </c>
      <c r="J38">
        <v>46672.518708000003</v>
      </c>
      <c r="K38" s="7">
        <v>633379.97</v>
      </c>
      <c r="L38" s="7">
        <v>680052.48870799993</v>
      </c>
      <c r="M38">
        <v>2365.2804999999998</v>
      </c>
      <c r="N38" s="7">
        <v>5300701.5250000004</v>
      </c>
      <c r="O38" s="7">
        <v>4872987.75</v>
      </c>
      <c r="P38" s="20">
        <v>5.5300545323797388E-3</v>
      </c>
      <c r="Q38">
        <v>2017</v>
      </c>
      <c r="R38" s="7">
        <v>5806</v>
      </c>
      <c r="U38" s="7">
        <v>5806</v>
      </c>
      <c r="V38" s="30">
        <v>5829.0022377750847</v>
      </c>
      <c r="W38" s="30">
        <v>-23.002237775084723</v>
      </c>
    </row>
    <row r="39" spans="1:23" x14ac:dyDescent="0.35">
      <c r="A39">
        <v>2018</v>
      </c>
      <c r="B39">
        <v>1</v>
      </c>
      <c r="C39" s="7">
        <v>5663</v>
      </c>
      <c r="D39" s="20">
        <v>-2.4629693420599379E-2</v>
      </c>
      <c r="E39" s="7">
        <v>4813</v>
      </c>
      <c r="F39" s="6">
        <v>413</v>
      </c>
      <c r="G39" s="7">
        <v>8719</v>
      </c>
      <c r="H39" s="7">
        <v>3600947</v>
      </c>
      <c r="I39" s="7">
        <v>750</v>
      </c>
      <c r="J39">
        <v>46647.810717</v>
      </c>
      <c r="K39" s="7">
        <v>800352.84</v>
      </c>
      <c r="L39" s="7">
        <v>847000.65071700001</v>
      </c>
      <c r="M39">
        <v>1404.8389999999999</v>
      </c>
      <c r="N39" s="7">
        <v>5465218.4500000002</v>
      </c>
      <c r="O39" s="7">
        <v>5136184.5999999996</v>
      </c>
      <c r="P39" s="20">
        <v>4.2695880682185059E-3</v>
      </c>
      <c r="Q39">
        <v>2018</v>
      </c>
      <c r="R39" s="7">
        <v>5949</v>
      </c>
      <c r="U39" s="7">
        <v>5663</v>
      </c>
      <c r="V39" s="30">
        <v>5712.4764782768489</v>
      </c>
      <c r="W39" s="30">
        <v>-49.476478276848866</v>
      </c>
    </row>
    <row r="40" spans="1:23" x14ac:dyDescent="0.35">
      <c r="B40">
        <v>2</v>
      </c>
      <c r="C40" s="7">
        <v>5683</v>
      </c>
      <c r="D40" s="20">
        <v>3.5316969803990818E-3</v>
      </c>
      <c r="E40" s="7">
        <v>4830</v>
      </c>
      <c r="F40" s="6">
        <v>426</v>
      </c>
      <c r="G40" s="7">
        <v>8719</v>
      </c>
      <c r="H40" s="7">
        <v>3714294</v>
      </c>
      <c r="I40" s="7">
        <v>800</v>
      </c>
      <c r="J40">
        <v>43346.7385985</v>
      </c>
      <c r="K40" s="7">
        <v>744874.07000000007</v>
      </c>
      <c r="L40" s="7">
        <v>788220.80859850009</v>
      </c>
      <c r="M40">
        <v>1253.7245</v>
      </c>
      <c r="N40" s="7">
        <v>5079390.625</v>
      </c>
      <c r="O40" s="7">
        <v>5300701.5250000004</v>
      </c>
      <c r="P40" s="20">
        <v>-5.6649920993498189E-3</v>
      </c>
      <c r="Q40">
        <v>2018</v>
      </c>
      <c r="R40" s="7">
        <v>5663</v>
      </c>
      <c r="U40" s="7">
        <v>5683</v>
      </c>
      <c r="V40" s="30">
        <v>5631.9644991999066</v>
      </c>
      <c r="W40" s="30">
        <v>51.035500800093359</v>
      </c>
    </row>
    <row r="41" spans="1:23" x14ac:dyDescent="0.35">
      <c r="A41">
        <v>2019</v>
      </c>
      <c r="B41">
        <v>1</v>
      </c>
      <c r="C41" s="7">
        <v>5703</v>
      </c>
      <c r="D41" s="20">
        <v>3.5192679922576102E-3</v>
      </c>
      <c r="E41" s="7">
        <v>4847</v>
      </c>
      <c r="F41" s="6">
        <v>439</v>
      </c>
      <c r="G41" s="7">
        <v>8719</v>
      </c>
      <c r="H41" s="7">
        <v>3827641</v>
      </c>
      <c r="I41" s="7">
        <v>825</v>
      </c>
      <c r="J41">
        <v>40045.66648</v>
      </c>
      <c r="K41" s="7">
        <v>689395.3</v>
      </c>
      <c r="L41" s="7">
        <v>729440.96648000006</v>
      </c>
      <c r="M41">
        <v>1102.6099999999999</v>
      </c>
      <c r="N41" s="7">
        <v>4693562.8</v>
      </c>
      <c r="O41" s="7">
        <v>5465218.4500000002</v>
      </c>
      <c r="P41" s="20">
        <v>-1.4288886500085879E-3</v>
      </c>
      <c r="Q41">
        <v>2019</v>
      </c>
      <c r="R41" s="7">
        <v>5703</v>
      </c>
      <c r="U41" s="7">
        <v>5703</v>
      </c>
      <c r="V41" s="30">
        <v>5681.6458732875744</v>
      </c>
      <c r="W41" s="30">
        <v>21.354126712425568</v>
      </c>
    </row>
    <row r="42" spans="1:23" x14ac:dyDescent="0.35">
      <c r="B42">
        <v>2</v>
      </c>
      <c r="C42" s="7">
        <v>5546</v>
      </c>
      <c r="D42" s="20">
        <v>-2.7529370506750833E-2</v>
      </c>
      <c r="E42" s="7">
        <v>4815</v>
      </c>
      <c r="F42" s="6">
        <v>445.75</v>
      </c>
      <c r="G42" s="7">
        <v>8719</v>
      </c>
      <c r="H42" s="7">
        <v>3886494.25</v>
      </c>
      <c r="I42" s="7">
        <v>812.5</v>
      </c>
      <c r="J42">
        <v>41530.363844</v>
      </c>
      <c r="K42" s="7">
        <v>693531.67</v>
      </c>
      <c r="L42" s="7">
        <v>735062.03384400008</v>
      </c>
      <c r="M42">
        <v>1167.7145</v>
      </c>
      <c r="N42" s="7">
        <v>4937949.22</v>
      </c>
      <c r="O42" s="7">
        <v>5079390.625</v>
      </c>
      <c r="P42" s="20">
        <v>-8.2558180187760292E-3</v>
      </c>
      <c r="Q42">
        <v>2019</v>
      </c>
      <c r="R42" s="7">
        <v>5683</v>
      </c>
      <c r="U42" s="7">
        <v>5546</v>
      </c>
      <c r="V42" s="30">
        <v>5642.0862331906465</v>
      </c>
      <c r="W42" s="30">
        <v>-96.086233190646453</v>
      </c>
    </row>
    <row r="43" spans="1:23" x14ac:dyDescent="0.35">
      <c r="A43">
        <v>2020</v>
      </c>
      <c r="B43">
        <v>1</v>
      </c>
      <c r="C43" s="7">
        <v>5389</v>
      </c>
      <c r="D43" s="20">
        <v>-2.8308690948431303E-2</v>
      </c>
      <c r="E43" s="7">
        <v>4783</v>
      </c>
      <c r="F43" s="6">
        <v>452.5</v>
      </c>
      <c r="G43" s="7">
        <v>8719</v>
      </c>
      <c r="H43" s="7">
        <v>3945347.5</v>
      </c>
      <c r="I43" s="7">
        <v>756</v>
      </c>
      <c r="J43">
        <v>43015.061207999999</v>
      </c>
      <c r="K43" s="7">
        <v>697668.04</v>
      </c>
      <c r="L43" s="7">
        <v>740683.10120799998</v>
      </c>
      <c r="M43">
        <v>1232.819</v>
      </c>
      <c r="N43" s="7">
        <v>5182335.6399999997</v>
      </c>
      <c r="O43" s="7">
        <v>4693562.8</v>
      </c>
      <c r="P43" s="20">
        <v>2.5222739463182943E-3</v>
      </c>
      <c r="Q43">
        <v>2020</v>
      </c>
      <c r="R43" s="7">
        <v>5546</v>
      </c>
      <c r="U43" s="7">
        <v>5389</v>
      </c>
      <c r="V43" s="30">
        <v>5563.3384339834838</v>
      </c>
      <c r="W43" s="30">
        <v>-174.33843398348381</v>
      </c>
    </row>
    <row r="44" spans="1:23" x14ac:dyDescent="0.35">
      <c r="B44">
        <v>2</v>
      </c>
      <c r="C44" s="7">
        <v>5467.5</v>
      </c>
      <c r="D44" s="20">
        <v>1.4566709964742994E-2</v>
      </c>
      <c r="E44" s="7">
        <v>4799</v>
      </c>
      <c r="F44" s="6">
        <v>408</v>
      </c>
      <c r="G44" s="7">
        <v>8719</v>
      </c>
      <c r="H44" s="7">
        <v>3557352</v>
      </c>
      <c r="I44" s="7">
        <v>602.32971396159098</v>
      </c>
      <c r="J44">
        <v>42272.712526000003</v>
      </c>
      <c r="K44" s="7">
        <v>695599.85499999998</v>
      </c>
      <c r="L44" s="7">
        <v>737872.56752599997</v>
      </c>
      <c r="M44">
        <v>1200.26675</v>
      </c>
      <c r="N44" s="7">
        <v>5060142.43</v>
      </c>
      <c r="O44" s="7">
        <v>4886476.7125000004</v>
      </c>
      <c r="P44" s="20">
        <v>6.9113626297602725E-3</v>
      </c>
      <c r="Q44">
        <v>2020</v>
      </c>
      <c r="R44" s="7">
        <v>5467.5</v>
      </c>
      <c r="U44" s="7">
        <v>5467.5</v>
      </c>
      <c r="V44" s="30">
        <v>5562.9534819126584</v>
      </c>
      <c r="W44" s="30">
        <v>-95.45348191265839</v>
      </c>
    </row>
    <row r="45" spans="1:23" x14ac:dyDescent="0.35">
      <c r="A45">
        <v>2021</v>
      </c>
      <c r="B45">
        <v>1</v>
      </c>
      <c r="C45" s="7">
        <v>5546</v>
      </c>
      <c r="D45" s="20">
        <v>1.4357567443987198E-2</v>
      </c>
      <c r="E45" s="7">
        <v>5219.9430894308998</v>
      </c>
      <c r="F45" s="6">
        <v>340.18292682926801</v>
      </c>
      <c r="G45" s="7">
        <v>8719</v>
      </c>
      <c r="H45" s="7">
        <v>2966054.9390243879</v>
      </c>
      <c r="I45" s="7">
        <v>600.36585365853603</v>
      </c>
      <c r="J45">
        <v>48917.849363233399</v>
      </c>
      <c r="K45" s="7">
        <v>552054.305865273</v>
      </c>
      <c r="L45" s="7">
        <v>600972.15522850642</v>
      </c>
      <c r="M45">
        <v>2354.2684976771197</v>
      </c>
      <c r="N45" s="7">
        <v>5407356.0376771204</v>
      </c>
      <c r="O45" s="7">
        <v>5190956.39944831</v>
      </c>
      <c r="P45" s="20">
        <v>1.087926263161231E-2</v>
      </c>
      <c r="Q45">
        <v>2021</v>
      </c>
      <c r="R45" s="7">
        <v>5389</v>
      </c>
      <c r="U45" s="7">
        <v>5546</v>
      </c>
      <c r="V45" s="30">
        <v>5944.2488724158411</v>
      </c>
      <c r="W45" s="30">
        <v>-398.24887241584111</v>
      </c>
    </row>
    <row r="46" spans="1:23" x14ac:dyDescent="0.35">
      <c r="B46">
        <v>2</v>
      </c>
      <c r="C46" s="7">
        <v>5624.5</v>
      </c>
      <c r="D46" s="20">
        <v>1.4154345474215652E-2</v>
      </c>
      <c r="E46" s="7">
        <v>5310.1060016746396</v>
      </c>
      <c r="F46" s="6">
        <v>341.62997325986498</v>
      </c>
      <c r="G46" s="7">
        <v>8719</v>
      </c>
      <c r="H46" s="7">
        <v>2978671.7368527628</v>
      </c>
      <c r="I46" s="7">
        <v>604.29357426464605</v>
      </c>
      <c r="J46">
        <v>49716.476952340701</v>
      </c>
      <c r="K46" s="7">
        <v>566638.94368514104</v>
      </c>
      <c r="L46" s="7">
        <v>616355.42063748173</v>
      </c>
      <c r="M46">
        <v>2393.7378361626597</v>
      </c>
      <c r="N46" s="7">
        <v>5508303.4631393999</v>
      </c>
      <c r="O46" s="7">
        <v>5290095.8097078204</v>
      </c>
      <c r="P46" s="20">
        <v>1.0969999440983095E-2</v>
      </c>
      <c r="Q46">
        <v>2021</v>
      </c>
      <c r="R46" s="7">
        <v>6145.8095238095202</v>
      </c>
      <c r="U46" s="7">
        <v>5624.5</v>
      </c>
      <c r="V46" s="30">
        <v>6300.7102852217004</v>
      </c>
      <c r="W46" s="30">
        <v>-676.21028522170036</v>
      </c>
    </row>
    <row r="47" spans="1:23" x14ac:dyDescent="0.35">
      <c r="A47">
        <v>2022</v>
      </c>
      <c r="B47">
        <v>1</v>
      </c>
      <c r="C47" s="7">
        <v>5703</v>
      </c>
      <c r="D47" s="20">
        <v>1.3956796159658636E-2</v>
      </c>
      <c r="E47" s="7">
        <v>5400.2689139183803</v>
      </c>
      <c r="F47" s="6">
        <v>343.07701969046298</v>
      </c>
      <c r="G47" s="7">
        <v>8719</v>
      </c>
      <c r="H47" s="7">
        <v>2991288.5346811465</v>
      </c>
      <c r="I47" s="7">
        <v>606.25743456770101</v>
      </c>
      <c r="J47">
        <v>50515.104541447901</v>
      </c>
      <c r="K47" s="7">
        <v>581223.58150501002</v>
      </c>
      <c r="L47" s="7">
        <v>631738.68604645797</v>
      </c>
      <c r="M47">
        <v>2433.2071746482002</v>
      </c>
      <c r="N47" s="7">
        <v>5609250.8886016803</v>
      </c>
      <c r="O47" s="7">
        <v>5389235.2199673196</v>
      </c>
      <c r="P47" s="20">
        <v>1.1059244960830019E-2</v>
      </c>
      <c r="Q47">
        <v>2022</v>
      </c>
      <c r="R47" s="7">
        <v>6353.5437430786296</v>
      </c>
      <c r="U47" s="7">
        <v>5703</v>
      </c>
      <c r="V47" s="30">
        <v>6445.7487666838078</v>
      </c>
      <c r="W47" s="30">
        <v>-742.74876668380784</v>
      </c>
    </row>
    <row r="48" spans="1:23" x14ac:dyDescent="0.35">
      <c r="B48">
        <v>2</v>
      </c>
      <c r="C48" s="7">
        <v>5781.5</v>
      </c>
      <c r="D48" s="20">
        <v>1.3764685253375417E-2</v>
      </c>
      <c r="E48" s="7">
        <v>5490.4318261621202</v>
      </c>
      <c r="F48" s="6">
        <v>344.52406612106</v>
      </c>
      <c r="G48" s="7">
        <v>8719</v>
      </c>
      <c r="H48" s="7">
        <v>3003905.3325095223</v>
      </c>
      <c r="I48" s="7">
        <v>606.25743456770101</v>
      </c>
      <c r="J48">
        <v>51313.732130555101</v>
      </c>
      <c r="K48" s="7">
        <v>595808.219324879</v>
      </c>
      <c r="L48" s="7">
        <v>647121.95145543409</v>
      </c>
      <c r="M48">
        <v>2472.6765131337297</v>
      </c>
      <c r="N48" s="7">
        <v>5710198.3140639598</v>
      </c>
      <c r="O48" s="7">
        <v>5488374.6302268198</v>
      </c>
      <c r="P48" s="20">
        <v>1.114703565625182E-2</v>
      </c>
      <c r="Q48">
        <v>2022</v>
      </c>
      <c r="R48" s="7">
        <v>6249.6766334440699</v>
      </c>
      <c r="U48" s="7">
        <v>5781.5</v>
      </c>
      <c r="V48" s="30">
        <v>6470.8091446322742</v>
      </c>
      <c r="W48" s="30">
        <v>-689.30914463227418</v>
      </c>
    </row>
    <row r="49" spans="1:24" x14ac:dyDescent="0.35">
      <c r="A49" s="37">
        <v>2023</v>
      </c>
      <c r="B49" s="37"/>
      <c r="C49" s="13">
        <v>6172.7142857142799</v>
      </c>
      <c r="D49" s="20">
        <v>6.7666571947466891E-2</v>
      </c>
      <c r="E49" s="7"/>
      <c r="F49" s="6"/>
      <c r="G49" s="7"/>
      <c r="H49" s="7"/>
      <c r="I49" s="7"/>
      <c r="K49" s="7"/>
      <c r="L49" s="7"/>
      <c r="N49" s="7"/>
      <c r="O49" s="7"/>
      <c r="P49" s="20"/>
      <c r="R49" s="7"/>
      <c r="U49" s="7"/>
      <c r="V49" s="30"/>
      <c r="W49" s="30"/>
    </row>
    <row r="50" spans="1:24" x14ac:dyDescent="0.35">
      <c r="A50" s="37">
        <v>2024</v>
      </c>
      <c r="B50" s="37"/>
      <c r="C50" s="13">
        <v>6382.1298701298701</v>
      </c>
      <c r="D50" s="20">
        <v>3.392601288872997E-2</v>
      </c>
      <c r="W50" s="30">
        <v>-216.89188319085497</v>
      </c>
    </row>
    <row r="51" spans="1:24" x14ac:dyDescent="0.35">
      <c r="A51" s="37">
        <v>2025</v>
      </c>
      <c r="B51" s="37"/>
      <c r="C51" s="13">
        <v>6591.5454545454504</v>
      </c>
      <c r="D51" s="20">
        <v>3.281280523539689E-2</v>
      </c>
      <c r="W51" s="30">
        <v>-10.328184913850237</v>
      </c>
      <c r="X51">
        <v>10.328184913850237</v>
      </c>
    </row>
    <row r="52" spans="1:24" x14ac:dyDescent="0.35">
      <c r="A52" s="37">
        <v>2026</v>
      </c>
      <c r="B52" s="37"/>
      <c r="C52" s="13">
        <v>6800.9610389610398</v>
      </c>
      <c r="D52" s="20">
        <v>3.1770331534493004E-2</v>
      </c>
      <c r="W52">
        <v>3.2137493545468407</v>
      </c>
    </row>
    <row r="53" spans="1:24" x14ac:dyDescent="0.35">
      <c r="A53" s="37">
        <v>2027</v>
      </c>
      <c r="B53" s="37"/>
      <c r="C53" s="13">
        <v>7010.37662337662</v>
      </c>
      <c r="D53" s="20">
        <v>3.0792057654188826E-2</v>
      </c>
    </row>
    <row r="54" spans="1:24" x14ac:dyDescent="0.35">
      <c r="A54" s="37"/>
      <c r="B54" s="37"/>
      <c r="C54" s="7"/>
      <c r="D54" s="20">
        <v>2.6828868225405412E-2</v>
      </c>
    </row>
    <row r="55" spans="1:24" x14ac:dyDescent="0.35">
      <c r="A55" s="37"/>
      <c r="B55" s="37"/>
      <c r="C55" s="7"/>
      <c r="D55" s="20"/>
      <c r="K55" t="s">
        <v>310</v>
      </c>
    </row>
    <row r="56" spans="1:24" x14ac:dyDescent="0.35">
      <c r="A56" s="37"/>
      <c r="B56" s="37"/>
      <c r="C56" s="7"/>
      <c r="D56" s="20"/>
      <c r="K56" t="s">
        <v>115</v>
      </c>
      <c r="L56">
        <v>0.79459400000000002</v>
      </c>
    </row>
    <row r="57" spans="1:24" x14ac:dyDescent="0.35">
      <c r="A57" s="37"/>
      <c r="B57" s="37"/>
      <c r="C57" s="7"/>
      <c r="D57" s="20"/>
      <c r="K57" t="s">
        <v>116</v>
      </c>
      <c r="L57" s="30">
        <v>-3.5299999999999997E-5</v>
      </c>
    </row>
    <row r="58" spans="1:24" x14ac:dyDescent="0.35">
      <c r="A58" s="37"/>
      <c r="B58" s="37"/>
      <c r="C58" s="7"/>
      <c r="D58" s="20"/>
      <c r="K58" t="s">
        <v>112</v>
      </c>
      <c r="L58">
        <v>-5.9160000000000003E-3</v>
      </c>
    </row>
    <row r="59" spans="1:24" x14ac:dyDescent="0.35">
      <c r="K59" t="s">
        <v>120</v>
      </c>
      <c r="L59">
        <v>-4.0099999999999999E-4</v>
      </c>
    </row>
    <row r="60" spans="1:24" x14ac:dyDescent="0.35">
      <c r="K60" t="s">
        <v>121</v>
      </c>
      <c r="L60">
        <v>318.37950000000001</v>
      </c>
    </row>
    <row r="61" spans="1:24" x14ac:dyDescent="0.35">
      <c r="K61" t="s">
        <v>124</v>
      </c>
      <c r="L61">
        <v>0.385073</v>
      </c>
    </row>
    <row r="62" spans="1:24" ht="15.5" x14ac:dyDescent="0.35">
      <c r="K62" s="19" t="s">
        <v>333</v>
      </c>
      <c r="L62">
        <v>67.134619999999998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AE2F-3CBA-4DEE-8B66-C081C0B591A7}">
  <dimension ref="A1:C52"/>
  <sheetViews>
    <sheetView topLeftCell="A47" workbookViewId="0">
      <selection activeCell="F54" sqref="F54"/>
    </sheetView>
  </sheetViews>
  <sheetFormatPr defaultRowHeight="14.5" x14ac:dyDescent="0.35"/>
  <cols>
    <col min="3" max="3" width="8.26953125" bestFit="1" customWidth="1"/>
  </cols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 s="7">
        <f>'Persamaan 8'!C3</f>
        <v>1890</v>
      </c>
      <c r="C2">
        <f>'Persamaan 8'!V3</f>
        <v>1771.703339059075</v>
      </c>
    </row>
    <row r="3" spans="1:3" x14ac:dyDescent="0.35">
      <c r="A3">
        <v>2000</v>
      </c>
      <c r="B3" s="7">
        <f>'Persamaan 8'!C4</f>
        <v>1984.5</v>
      </c>
      <c r="C3">
        <f>'Persamaan 8'!V4</f>
        <v>1946.5396415430505</v>
      </c>
    </row>
    <row r="4" spans="1:3" x14ac:dyDescent="0.35">
      <c r="A4">
        <v>2001</v>
      </c>
      <c r="B4" s="7">
        <f>'Persamaan 8'!C5</f>
        <v>2079</v>
      </c>
      <c r="C4">
        <f>'Persamaan 8'!V5</f>
        <v>2188.2882768940653</v>
      </c>
    </row>
    <row r="5" spans="1:3" x14ac:dyDescent="0.35">
      <c r="A5">
        <v>2001</v>
      </c>
      <c r="B5" s="7">
        <f>'Persamaan 8'!C6</f>
        <v>2146.5</v>
      </c>
      <c r="C5">
        <f>'Persamaan 8'!V6</f>
        <v>2128.0157233049208</v>
      </c>
    </row>
    <row r="6" spans="1:3" x14ac:dyDescent="0.35">
      <c r="A6">
        <v>2002</v>
      </c>
      <c r="B6" s="7">
        <f>'Persamaan 8'!C7</f>
        <v>2214</v>
      </c>
      <c r="C6">
        <f>'Persamaan 8'!V7</f>
        <v>2167.1069167813448</v>
      </c>
    </row>
    <row r="7" spans="1:3" x14ac:dyDescent="0.35">
      <c r="A7">
        <v>2002</v>
      </c>
      <c r="B7" s="7">
        <f>'Persamaan 8'!C8</f>
        <v>2366.5</v>
      </c>
      <c r="C7">
        <f>'Persamaan 8'!V8</f>
        <v>2433.209031339758</v>
      </c>
    </row>
    <row r="8" spans="1:3" x14ac:dyDescent="0.35">
      <c r="A8">
        <v>2003</v>
      </c>
      <c r="B8" s="7">
        <f>'Persamaan 8'!C9</f>
        <v>2519</v>
      </c>
      <c r="C8">
        <f>'Persamaan 8'!V9</f>
        <v>2555.7850335626608</v>
      </c>
    </row>
    <row r="9" spans="1:3" x14ac:dyDescent="0.35">
      <c r="A9">
        <v>2003</v>
      </c>
      <c r="B9" s="7">
        <f>'Persamaan 8'!C10</f>
        <v>2630</v>
      </c>
      <c r="C9">
        <f>'Persamaan 8'!V10</f>
        <v>2664.0418481125221</v>
      </c>
    </row>
    <row r="10" spans="1:3" x14ac:dyDescent="0.35">
      <c r="A10">
        <v>2004</v>
      </c>
      <c r="B10" s="7">
        <f>'Persamaan 8'!C11</f>
        <v>2741</v>
      </c>
      <c r="C10">
        <f>'Persamaan 8'!V11</f>
        <v>2741.842589312002</v>
      </c>
    </row>
    <row r="11" spans="1:3" x14ac:dyDescent="0.35">
      <c r="A11">
        <v>2004</v>
      </c>
      <c r="B11" s="7">
        <f>'Persamaan 8'!C12</f>
        <v>2770.5</v>
      </c>
      <c r="C11">
        <f>'Persamaan 8'!V12</f>
        <v>2809.7640533848571</v>
      </c>
    </row>
    <row r="12" spans="1:3" x14ac:dyDescent="0.35">
      <c r="A12">
        <v>2005</v>
      </c>
      <c r="B12" s="7">
        <f>'Persamaan 8'!C13</f>
        <v>2800</v>
      </c>
      <c r="C12">
        <f>'Persamaan 8'!V13</f>
        <v>2978.7503087415093</v>
      </c>
    </row>
    <row r="13" spans="1:3" x14ac:dyDescent="0.35">
      <c r="A13">
        <v>2005</v>
      </c>
      <c r="B13" s="7">
        <f>'Persamaan 8'!C14</f>
        <v>2830</v>
      </c>
      <c r="C13">
        <f>'Persamaan 8'!V14</f>
        <v>2928.5341136001625</v>
      </c>
    </row>
    <row r="14" spans="1:3" x14ac:dyDescent="0.35">
      <c r="A14">
        <v>2006</v>
      </c>
      <c r="B14" s="7">
        <f>'Persamaan 8'!C15</f>
        <v>2860</v>
      </c>
      <c r="C14">
        <f>'Persamaan 8'!V15</f>
        <v>2852.7987133079323</v>
      </c>
    </row>
    <row r="15" spans="1:3" x14ac:dyDescent="0.35">
      <c r="A15">
        <v>2006</v>
      </c>
      <c r="B15" s="7">
        <f>'Persamaan 8'!C16</f>
        <v>2993</v>
      </c>
      <c r="C15">
        <f>'Persamaan 8'!V16</f>
        <v>2885.6138059161976</v>
      </c>
    </row>
    <row r="16" spans="1:3" x14ac:dyDescent="0.35">
      <c r="A16">
        <v>2007</v>
      </c>
      <c r="B16" s="7">
        <f>'Persamaan 8'!C17</f>
        <v>3126</v>
      </c>
      <c r="C16">
        <f>'Persamaan 8'!V17</f>
        <v>2999.8822325996434</v>
      </c>
    </row>
    <row r="17" spans="1:3" x14ac:dyDescent="0.35">
      <c r="A17">
        <v>2007</v>
      </c>
      <c r="B17" s="7">
        <f>'Persamaan 8'!C18</f>
        <v>3194.5</v>
      </c>
      <c r="C17">
        <f>'Persamaan 8'!V18</f>
        <v>3090.0051977274943</v>
      </c>
    </row>
    <row r="18" spans="1:3" x14ac:dyDescent="0.35">
      <c r="A18">
        <v>2008</v>
      </c>
      <c r="B18" s="7">
        <f>'Persamaan 8'!C19</f>
        <v>3263</v>
      </c>
      <c r="C18">
        <f>'Persamaan 8'!V19</f>
        <v>3310.4323133360494</v>
      </c>
    </row>
    <row r="19" spans="1:3" x14ac:dyDescent="0.35">
      <c r="A19">
        <v>2008</v>
      </c>
      <c r="B19" s="7">
        <f>'Persamaan 8'!C20</f>
        <v>3380.5</v>
      </c>
      <c r="C19">
        <f>'Persamaan 8'!V20</f>
        <v>3450.5216773846469</v>
      </c>
    </row>
    <row r="20" spans="1:3" x14ac:dyDescent="0.35">
      <c r="A20">
        <v>2009</v>
      </c>
      <c r="B20" s="7">
        <f>'Persamaan 8'!C21</f>
        <v>3498</v>
      </c>
      <c r="C20">
        <f>'Persamaan 8'!V21</f>
        <v>3477.687609169122</v>
      </c>
    </row>
    <row r="21" spans="1:3" x14ac:dyDescent="0.35">
      <c r="A21">
        <v>2009</v>
      </c>
      <c r="B21" s="7">
        <f>'Persamaan 8'!C22</f>
        <v>3572.5</v>
      </c>
      <c r="C21">
        <f>'Persamaan 8'!V22</f>
        <v>3615.8643898617247</v>
      </c>
    </row>
    <row r="22" spans="1:3" x14ac:dyDescent="0.35">
      <c r="A22">
        <v>2010</v>
      </c>
      <c r="B22" s="7">
        <f>'Persamaan 8'!C23</f>
        <v>3647</v>
      </c>
      <c r="C22">
        <f>'Persamaan 8'!V23</f>
        <v>3726.005068252116</v>
      </c>
    </row>
    <row r="23" spans="1:3" x14ac:dyDescent="0.35">
      <c r="A23">
        <v>2010</v>
      </c>
      <c r="B23" s="7">
        <f>'Persamaan 8'!C24</f>
        <v>3713.5</v>
      </c>
      <c r="C23">
        <f>'Persamaan 8'!V24</f>
        <v>3768.4098012447603</v>
      </c>
    </row>
    <row r="24" spans="1:3" x14ac:dyDescent="0.35">
      <c r="A24">
        <v>2011</v>
      </c>
      <c r="B24" s="7">
        <f>'Persamaan 8'!C25</f>
        <v>3780</v>
      </c>
      <c r="C24">
        <f>'Persamaan 8'!V25</f>
        <v>3896.9603920779091</v>
      </c>
    </row>
    <row r="25" spans="1:3" x14ac:dyDescent="0.35">
      <c r="A25">
        <v>2011</v>
      </c>
      <c r="B25" s="7">
        <f>'Persamaan 8'!C26</f>
        <v>3931</v>
      </c>
      <c r="C25">
        <f>'Persamaan 8'!V26</f>
        <v>4059.6625546186888</v>
      </c>
    </row>
    <row r="26" spans="1:3" x14ac:dyDescent="0.35">
      <c r="A26">
        <v>2012</v>
      </c>
      <c r="B26" s="7">
        <f>'Persamaan 8'!C27</f>
        <v>4082</v>
      </c>
      <c r="C26">
        <f>'Persamaan 8'!V27</f>
        <v>4088.0179506662544</v>
      </c>
    </row>
    <row r="27" spans="1:3" x14ac:dyDescent="0.35">
      <c r="A27">
        <v>2012</v>
      </c>
      <c r="B27" s="7">
        <f>'Persamaan 8'!C28</f>
        <v>4352.5</v>
      </c>
      <c r="C27">
        <f>'Persamaan 8'!V28</f>
        <v>4375.1864341857281</v>
      </c>
    </row>
    <row r="28" spans="1:3" x14ac:dyDescent="0.35">
      <c r="A28">
        <v>2013</v>
      </c>
      <c r="B28" s="7">
        <f>'Persamaan 8'!C29</f>
        <v>4623</v>
      </c>
      <c r="C28">
        <f>'Persamaan 8'!V29</f>
        <v>4816.4924558910079</v>
      </c>
    </row>
    <row r="29" spans="1:3" x14ac:dyDescent="0.35">
      <c r="A29">
        <v>2013</v>
      </c>
      <c r="B29" s="7">
        <f>'Persamaan 8'!C30</f>
        <v>4780.5</v>
      </c>
      <c r="C29">
        <f>'Persamaan 8'!V30</f>
        <v>4713.9181067022237</v>
      </c>
    </row>
    <row r="30" spans="1:3" x14ac:dyDescent="0.35">
      <c r="A30">
        <v>2014</v>
      </c>
      <c r="B30" s="7">
        <f>'Persamaan 8'!C31</f>
        <v>4938</v>
      </c>
      <c r="C30">
        <f>'Persamaan 8'!V31</f>
        <v>5000.2203362879573</v>
      </c>
    </row>
    <row r="31" spans="1:3" x14ac:dyDescent="0.35">
      <c r="A31">
        <v>2014</v>
      </c>
      <c r="B31" s="7">
        <f>'Persamaan 8'!C32</f>
        <v>5050.5</v>
      </c>
      <c r="C31">
        <f>'Persamaan 8'!V32</f>
        <v>5182.3865404488897</v>
      </c>
    </row>
    <row r="32" spans="1:3" x14ac:dyDescent="0.35">
      <c r="A32">
        <v>2015</v>
      </c>
      <c r="B32" s="7">
        <f>'Persamaan 8'!C33</f>
        <v>5163</v>
      </c>
      <c r="C32">
        <f>'Persamaan 8'!V33</f>
        <v>5203.7241678404635</v>
      </c>
    </row>
    <row r="33" spans="1:3" x14ac:dyDescent="0.35">
      <c r="A33">
        <v>2015</v>
      </c>
      <c r="B33" s="7">
        <f>'Persamaan 8'!C34</f>
        <v>5244</v>
      </c>
      <c r="C33">
        <f>'Persamaan 8'!V34</f>
        <v>5328.9149937991333</v>
      </c>
    </row>
    <row r="34" spans="1:3" x14ac:dyDescent="0.35">
      <c r="A34">
        <v>2016</v>
      </c>
      <c r="B34" s="7">
        <f>'Persamaan 8'!C35</f>
        <v>5325</v>
      </c>
      <c r="C34">
        <f>'Persamaan 8'!V35</f>
        <v>5429.6419397271511</v>
      </c>
    </row>
    <row r="35" spans="1:3" x14ac:dyDescent="0.35">
      <c r="A35">
        <v>2016</v>
      </c>
      <c r="B35" s="7">
        <f>'Persamaan 8'!C36</f>
        <v>5637</v>
      </c>
      <c r="C35">
        <f>'Persamaan 8'!V36</f>
        <v>5591.9737781239164</v>
      </c>
    </row>
    <row r="36" spans="1:3" x14ac:dyDescent="0.35">
      <c r="A36">
        <v>2017</v>
      </c>
      <c r="B36" s="7">
        <f>'Persamaan 8'!C37</f>
        <v>5949</v>
      </c>
      <c r="C36">
        <f>'Persamaan 8'!V37</f>
        <v>5935.9572380753843</v>
      </c>
    </row>
    <row r="37" spans="1:3" x14ac:dyDescent="0.35">
      <c r="A37">
        <v>2017</v>
      </c>
      <c r="B37" s="7">
        <f>'Persamaan 8'!C38</f>
        <v>5806</v>
      </c>
      <c r="C37">
        <f>'Persamaan 8'!V38</f>
        <v>5829.0022377750847</v>
      </c>
    </row>
    <row r="38" spans="1:3" x14ac:dyDescent="0.35">
      <c r="A38">
        <v>2018</v>
      </c>
      <c r="B38" s="7">
        <f>'Persamaan 8'!C39</f>
        <v>5663</v>
      </c>
      <c r="C38">
        <f>'Persamaan 8'!V39</f>
        <v>5712.4764782768489</v>
      </c>
    </row>
    <row r="39" spans="1:3" x14ac:dyDescent="0.35">
      <c r="A39">
        <v>2018</v>
      </c>
      <c r="B39" s="7">
        <f>'Persamaan 8'!C40</f>
        <v>5683</v>
      </c>
      <c r="C39">
        <f>'Persamaan 8'!V40</f>
        <v>5631.9644991999066</v>
      </c>
    </row>
    <row r="40" spans="1:3" x14ac:dyDescent="0.35">
      <c r="A40">
        <v>2019</v>
      </c>
      <c r="B40" s="7">
        <f>'Persamaan 8'!C41</f>
        <v>5703</v>
      </c>
      <c r="C40">
        <f>'Persamaan 8'!V41</f>
        <v>5681.6458732875744</v>
      </c>
    </row>
    <row r="41" spans="1:3" x14ac:dyDescent="0.35">
      <c r="A41">
        <v>2019</v>
      </c>
      <c r="B41" s="7">
        <f>'Persamaan 8'!C42</f>
        <v>5546</v>
      </c>
      <c r="C41">
        <f>'Persamaan 8'!V42</f>
        <v>5642.0862331906465</v>
      </c>
    </row>
    <row r="42" spans="1:3" x14ac:dyDescent="0.35">
      <c r="A42">
        <v>2020</v>
      </c>
      <c r="B42" s="7">
        <f>'Persamaan 8'!C43</f>
        <v>5389</v>
      </c>
      <c r="C42">
        <f>'Persamaan 8'!V43</f>
        <v>5563.3384339834838</v>
      </c>
    </row>
    <row r="43" spans="1:3" x14ac:dyDescent="0.35">
      <c r="A43">
        <v>2020</v>
      </c>
      <c r="B43" s="7">
        <f>'Persamaan 8'!C44</f>
        <v>5467.5</v>
      </c>
      <c r="C43">
        <f>'Persamaan 8'!V44</f>
        <v>5562.9534819126584</v>
      </c>
    </row>
    <row r="44" spans="1:3" x14ac:dyDescent="0.35">
      <c r="A44">
        <v>2021</v>
      </c>
      <c r="B44" s="7">
        <f>'Persamaan 8'!C45</f>
        <v>5546</v>
      </c>
      <c r="C44">
        <f>'Persamaan 8'!V45</f>
        <v>5944.2488724158411</v>
      </c>
    </row>
    <row r="45" spans="1:3" x14ac:dyDescent="0.35">
      <c r="A45">
        <v>2021</v>
      </c>
      <c r="B45" s="7">
        <f>'Persamaan 8'!C46</f>
        <v>5624.5</v>
      </c>
      <c r="C45">
        <f>'Persamaan 8'!V46</f>
        <v>6300.7102852217004</v>
      </c>
    </row>
    <row r="46" spans="1:3" x14ac:dyDescent="0.35">
      <c r="A46">
        <v>2022</v>
      </c>
      <c r="B46" s="7">
        <f>'Persamaan 8'!C47</f>
        <v>5703</v>
      </c>
      <c r="C46">
        <f>'Persamaan 8'!V47</f>
        <v>6445.7487666838078</v>
      </c>
    </row>
    <row r="47" spans="1:3" x14ac:dyDescent="0.35">
      <c r="A47">
        <v>2022</v>
      </c>
      <c r="B47" s="7">
        <f>'Persamaan 8'!C48</f>
        <v>5781.5</v>
      </c>
      <c r="C47">
        <f>'Persamaan 8'!V48</f>
        <v>6470.8091446322742</v>
      </c>
    </row>
    <row r="48" spans="1:3" x14ac:dyDescent="0.35">
      <c r="A48">
        <v>2023</v>
      </c>
      <c r="B48" s="7">
        <f>'Persamaan 8'!C49</f>
        <v>6172.7142857142799</v>
      </c>
    </row>
    <row r="49" spans="1:2" x14ac:dyDescent="0.35">
      <c r="A49">
        <v>2024</v>
      </c>
      <c r="B49" s="7">
        <f>'Persamaan 8'!C50</f>
        <v>6382.1298701298701</v>
      </c>
    </row>
    <row r="50" spans="1:2" x14ac:dyDescent="0.35">
      <c r="A50">
        <v>2025</v>
      </c>
      <c r="B50" s="7">
        <f>'Persamaan 8'!C51</f>
        <v>6591.5454545454504</v>
      </c>
    </row>
    <row r="51" spans="1:2" x14ac:dyDescent="0.35">
      <c r="A51">
        <v>2026</v>
      </c>
      <c r="B51" s="7">
        <f>'Persamaan 8'!C52</f>
        <v>6800.9610389610398</v>
      </c>
    </row>
    <row r="52" spans="1:2" x14ac:dyDescent="0.35">
      <c r="A52">
        <v>2027</v>
      </c>
      <c r="B52" s="7">
        <f>'Persamaan 8'!C53</f>
        <v>7010.37662337662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5C5D-226A-49DC-8A3A-CB6A7B54071C}">
  <dimension ref="A1:M20"/>
  <sheetViews>
    <sheetView topLeftCell="A18" workbookViewId="0">
      <selection activeCell="A11" sqref="A11:F20"/>
    </sheetView>
  </sheetViews>
  <sheetFormatPr defaultRowHeight="14.5" x14ac:dyDescent="0.35"/>
  <cols>
    <col min="1" max="1" width="13.81640625" bestFit="1" customWidth="1"/>
    <col min="2" max="2" width="13.26953125" customWidth="1"/>
    <col min="3" max="3" width="10.81640625" customWidth="1"/>
    <col min="6" max="6" width="11" customWidth="1"/>
    <col min="8" max="8" width="12.90625" bestFit="1" customWidth="1"/>
    <col min="9" max="9" width="10.26953125" bestFit="1" customWidth="1"/>
    <col min="11" max="11" width="17.453125" bestFit="1" customWidth="1"/>
    <col min="12" max="12" width="9.26953125" bestFit="1" customWidth="1"/>
  </cols>
  <sheetData>
    <row r="1" spans="1:13" ht="31.5" thickBot="1" x14ac:dyDescent="0.4">
      <c r="A1" s="70" t="s">
        <v>441</v>
      </c>
      <c r="B1" s="71" t="s">
        <v>442</v>
      </c>
    </row>
    <row r="2" spans="1:13" ht="16" thickBot="1" x14ac:dyDescent="0.4">
      <c r="A2" t="s">
        <v>115</v>
      </c>
      <c r="B2" s="27">
        <v>0.79459400000000002</v>
      </c>
      <c r="G2" t="s">
        <v>67</v>
      </c>
      <c r="H2" t="s">
        <v>115</v>
      </c>
      <c r="I2" t="s">
        <v>116</v>
      </c>
      <c r="J2" t="s">
        <v>112</v>
      </c>
      <c r="K2" t="s">
        <v>120</v>
      </c>
      <c r="L2" t="s">
        <v>121</v>
      </c>
      <c r="M2" s="74" t="s">
        <v>124</v>
      </c>
    </row>
    <row r="3" spans="1:13" ht="14.5" customHeight="1" x14ac:dyDescent="0.35">
      <c r="A3" t="s">
        <v>116</v>
      </c>
      <c r="B3" s="27">
        <v>-3.5299999999999997E-5</v>
      </c>
      <c r="F3" t="s">
        <v>459</v>
      </c>
      <c r="G3" s="11">
        <f>AVERAGE('Persamaan 8'!C3:C48)</f>
        <v>4064.9347826086955</v>
      </c>
      <c r="H3" s="11">
        <f>AVERAGE('Persamaan 8'!E3:E48)</f>
        <v>3461.7663006779571</v>
      </c>
      <c r="I3" s="11">
        <f>AVERAGE('Persamaan 8'!H3:H48)</f>
        <v>2720027.3813710394</v>
      </c>
      <c r="J3" s="11">
        <f>AVERAGE('Persamaan 8'!I3:I48)</f>
        <v>560.26095676130819</v>
      </c>
      <c r="K3" s="11">
        <f>AVERAGE('Persamaan 8'!L3:L48)</f>
        <v>300998.47975347564</v>
      </c>
      <c r="L3" s="11">
        <f>AVERAGE('Persamaan 8'!P3:P48)</f>
        <v>1.2260198054603785E-2</v>
      </c>
      <c r="M3" s="7">
        <f>AVERAGE('Persamaan 8'!R3:R48)</f>
        <v>4020.7180413115698</v>
      </c>
    </row>
    <row r="4" spans="1:13" ht="29" x14ac:dyDescent="0.35">
      <c r="A4" t="s">
        <v>112</v>
      </c>
      <c r="B4" s="27">
        <v>-5.9160000000000003E-3</v>
      </c>
      <c r="F4" s="80" t="s">
        <v>460</v>
      </c>
      <c r="H4">
        <f>H3/$G$3</f>
        <v>0.85161668902750476</v>
      </c>
      <c r="I4">
        <f t="shared" ref="I4:M4" si="0">I3/$G$3</f>
        <v>669.14416265872933</v>
      </c>
      <c r="J4">
        <f t="shared" si="0"/>
        <v>0.13782778487820105</v>
      </c>
      <c r="K4">
        <f t="shared" si="0"/>
        <v>74.047554475230257</v>
      </c>
      <c r="L4">
        <f t="shared" si="0"/>
        <v>3.0160872708358021E-6</v>
      </c>
      <c r="M4">
        <f t="shared" si="0"/>
        <v>0.98912239835032501</v>
      </c>
    </row>
    <row r="5" spans="1:13" x14ac:dyDescent="0.35">
      <c r="A5" t="s">
        <v>120</v>
      </c>
      <c r="B5" s="27">
        <v>-4.0099999999999999E-4</v>
      </c>
      <c r="F5" t="s">
        <v>461</v>
      </c>
      <c r="H5" s="27">
        <v>0.79459400000000002</v>
      </c>
      <c r="I5" s="27">
        <v>-3.5299999999999997E-5</v>
      </c>
      <c r="J5" s="27">
        <v>-5.9160000000000003E-3</v>
      </c>
      <c r="K5" s="27">
        <v>-4.0099999999999999E-4</v>
      </c>
      <c r="L5" s="27">
        <v>318.37950000000001</v>
      </c>
      <c r="M5" s="27">
        <v>0.385073</v>
      </c>
    </row>
    <row r="6" spans="1:13" x14ac:dyDescent="0.35">
      <c r="A6" t="s">
        <v>121</v>
      </c>
      <c r="B6" s="27">
        <v>318.37950000000001</v>
      </c>
      <c r="F6" t="s">
        <v>462</v>
      </c>
      <c r="H6">
        <f>H5*H4</f>
        <v>0.6766895114011211</v>
      </c>
      <c r="I6">
        <f>I5*I4</f>
        <v>-2.3620788941853144E-2</v>
      </c>
      <c r="J6">
        <f>J5*J4</f>
        <v>-8.1538917533943744E-4</v>
      </c>
      <c r="K6">
        <f>K5*K4</f>
        <v>-2.9693069344567332E-2</v>
      </c>
      <c r="L6">
        <f>L5*L4</f>
        <v>9.6026035724506729E-4</v>
      </c>
    </row>
    <row r="7" spans="1:13" ht="14.5" customHeight="1" thickBot="1" x14ac:dyDescent="0.4">
      <c r="A7" s="74" t="s">
        <v>124</v>
      </c>
      <c r="B7" s="27">
        <v>0.385073</v>
      </c>
      <c r="F7" t="s">
        <v>463</v>
      </c>
      <c r="H7">
        <f>H6/(1-$M$5)</f>
        <v>1.1004387698070195</v>
      </c>
      <c r="I7">
        <f t="shared" ref="I7:L7" si="1">I6/(1-$M$5)</f>
        <v>-3.8412346411611696E-2</v>
      </c>
      <c r="J7">
        <f t="shared" si="1"/>
        <v>-1.325993451807186E-3</v>
      </c>
      <c r="K7">
        <f t="shared" si="1"/>
        <v>-4.8287145213281139E-2</v>
      </c>
      <c r="L7">
        <f t="shared" si="1"/>
        <v>1.5615843136584787E-3</v>
      </c>
    </row>
    <row r="8" spans="1:13" ht="14.5" customHeight="1" x14ac:dyDescent="0.35">
      <c r="A8" t="s">
        <v>333</v>
      </c>
      <c r="B8">
        <v>67.134619999999998</v>
      </c>
    </row>
    <row r="11" spans="1:13" ht="15.5" x14ac:dyDescent="0.35">
      <c r="A11" s="122" t="s">
        <v>441</v>
      </c>
      <c r="B11" s="122" t="s">
        <v>526</v>
      </c>
      <c r="C11" s="124" t="s">
        <v>443</v>
      </c>
      <c r="D11" s="121" t="s">
        <v>625</v>
      </c>
      <c r="E11" s="121"/>
      <c r="F11" s="122" t="s">
        <v>444</v>
      </c>
      <c r="G11" s="87"/>
    </row>
    <row r="12" spans="1:13" ht="15.5" x14ac:dyDescent="0.35">
      <c r="A12" s="123"/>
      <c r="B12" s="123"/>
      <c r="C12" s="125"/>
      <c r="D12" s="94" t="s">
        <v>626</v>
      </c>
      <c r="E12" s="94" t="s">
        <v>635</v>
      </c>
      <c r="F12" s="123"/>
      <c r="G12" s="87"/>
    </row>
    <row r="13" spans="1:13" ht="62" x14ac:dyDescent="0.35">
      <c r="A13" s="85" t="s">
        <v>115</v>
      </c>
      <c r="B13" s="86" t="s">
        <v>561</v>
      </c>
      <c r="C13" s="86" t="s">
        <v>562</v>
      </c>
      <c r="D13" s="72">
        <v>0.6766895114011211</v>
      </c>
      <c r="E13" s="72">
        <v>1.1004387698070195</v>
      </c>
      <c r="F13" s="88" t="s">
        <v>14</v>
      </c>
      <c r="G13" s="87"/>
    </row>
    <row r="14" spans="1:13" ht="109.5" customHeight="1" x14ac:dyDescent="0.35">
      <c r="A14" s="88" t="s">
        <v>209</v>
      </c>
      <c r="B14" s="88" t="s">
        <v>563</v>
      </c>
      <c r="C14" s="88" t="s">
        <v>564</v>
      </c>
      <c r="D14" s="72">
        <v>-2.3620788941853144E-2</v>
      </c>
      <c r="E14" s="72">
        <v>-3.8412346411611696E-2</v>
      </c>
      <c r="F14" s="88" t="s">
        <v>552</v>
      </c>
      <c r="G14" s="87"/>
    </row>
    <row r="15" spans="1:13" ht="63" customHeight="1" x14ac:dyDescent="0.35">
      <c r="A15" s="88" t="s">
        <v>112</v>
      </c>
      <c r="B15" s="88" t="s">
        <v>565</v>
      </c>
      <c r="C15" s="88" t="s">
        <v>566</v>
      </c>
      <c r="D15" s="72">
        <v>-8.1538917533943744E-4</v>
      </c>
      <c r="E15" s="72">
        <v>-1.325993451807186E-3</v>
      </c>
      <c r="F15" s="88" t="s">
        <v>567</v>
      </c>
      <c r="G15" s="87"/>
    </row>
    <row r="16" spans="1:13" ht="94" customHeight="1" x14ac:dyDescent="0.35">
      <c r="A16" s="88" t="s">
        <v>210</v>
      </c>
      <c r="B16" s="88" t="s">
        <v>568</v>
      </c>
      <c r="C16" s="88" t="s">
        <v>569</v>
      </c>
      <c r="D16" s="72">
        <v>-2.9693069344567332E-2</v>
      </c>
      <c r="E16" s="72">
        <v>-4.8287145213281139E-2</v>
      </c>
      <c r="F16" s="88" t="s">
        <v>570</v>
      </c>
      <c r="G16" s="87"/>
    </row>
    <row r="17" spans="1:7" ht="125" customHeight="1" x14ac:dyDescent="0.35">
      <c r="A17" s="88" t="s">
        <v>211</v>
      </c>
      <c r="B17" s="93">
        <v>-320449</v>
      </c>
      <c r="C17" s="88" t="s">
        <v>571</v>
      </c>
      <c r="D17" s="72">
        <v>9.6026035724506729E-4</v>
      </c>
      <c r="E17" s="72">
        <v>1.5615843136584787E-3</v>
      </c>
      <c r="F17" s="88" t="s">
        <v>572</v>
      </c>
      <c r="G17" s="87"/>
    </row>
    <row r="18" spans="1:7" ht="93" x14ac:dyDescent="0.35">
      <c r="A18" s="88" t="s">
        <v>573</v>
      </c>
      <c r="B18" s="88" t="s">
        <v>574</v>
      </c>
      <c r="C18" s="88" t="s">
        <v>575</v>
      </c>
      <c r="D18" s="87"/>
      <c r="E18" s="87"/>
      <c r="F18" s="88" t="s">
        <v>636</v>
      </c>
      <c r="G18" s="87"/>
    </row>
    <row r="19" spans="1:7" ht="15.5" x14ac:dyDescent="0.35">
      <c r="A19" s="85" t="s">
        <v>456</v>
      </c>
      <c r="B19" s="99">
        <v>68444</v>
      </c>
      <c r="C19" s="86" t="s">
        <v>576</v>
      </c>
      <c r="D19" s="88"/>
      <c r="E19" s="88"/>
      <c r="F19" s="88"/>
      <c r="G19" s="87"/>
    </row>
    <row r="20" spans="1:7" ht="31" customHeight="1" x14ac:dyDescent="0.35">
      <c r="A20" s="120" t="s">
        <v>577</v>
      </c>
      <c r="B20" s="120"/>
      <c r="C20" s="120"/>
      <c r="D20" s="120"/>
      <c r="E20" s="120"/>
      <c r="F20" s="120"/>
      <c r="G20" s="87"/>
    </row>
  </sheetData>
  <mergeCells count="6">
    <mergeCell ref="A20:F20"/>
    <mergeCell ref="D11:E11"/>
    <mergeCell ref="A11:A12"/>
    <mergeCell ref="B11:B12"/>
    <mergeCell ref="C11:C12"/>
    <mergeCell ref="F11:F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D505-BB9C-4610-8105-07FA2F51C229}">
  <dimension ref="A3:G10"/>
  <sheetViews>
    <sheetView topLeftCell="A7" workbookViewId="0">
      <selection activeCell="A3" sqref="A3:F10"/>
    </sheetView>
  </sheetViews>
  <sheetFormatPr defaultRowHeight="14.5" x14ac:dyDescent="0.35"/>
  <cols>
    <col min="1" max="1" width="7.6328125" customWidth="1"/>
    <col min="2" max="2" width="10.36328125" customWidth="1"/>
    <col min="3" max="3" width="9.90625" customWidth="1"/>
  </cols>
  <sheetData>
    <row r="3" spans="1:7" ht="30.5" customHeight="1" x14ac:dyDescent="0.35">
      <c r="A3" s="122" t="s">
        <v>441</v>
      </c>
      <c r="B3" s="122" t="s">
        <v>442</v>
      </c>
      <c r="C3" s="126" t="s">
        <v>443</v>
      </c>
      <c r="D3" s="121" t="s">
        <v>625</v>
      </c>
      <c r="E3" s="121"/>
      <c r="F3" s="128" t="s">
        <v>444</v>
      </c>
      <c r="G3" s="87"/>
    </row>
    <row r="4" spans="1:7" ht="15.5" x14ac:dyDescent="0.35">
      <c r="A4" s="123"/>
      <c r="B4" s="123"/>
      <c r="C4" s="127"/>
      <c r="D4" s="94" t="s">
        <v>626</v>
      </c>
      <c r="E4" s="94" t="s">
        <v>627</v>
      </c>
      <c r="F4" s="129"/>
      <c r="G4" s="87"/>
    </row>
    <row r="5" spans="1:7" ht="155" x14ac:dyDescent="0.35">
      <c r="A5" s="85" t="s">
        <v>171</v>
      </c>
      <c r="B5" s="85" t="s">
        <v>578</v>
      </c>
      <c r="C5" s="86" t="s">
        <v>579</v>
      </c>
      <c r="D5" s="89"/>
      <c r="E5" s="89"/>
      <c r="F5" s="88" t="s">
        <v>580</v>
      </c>
      <c r="G5" s="87"/>
    </row>
    <row r="6" spans="1:7" ht="78.5" customHeight="1" x14ac:dyDescent="0.35">
      <c r="A6" s="88" t="s">
        <v>581</v>
      </c>
      <c r="B6" s="88" t="s">
        <v>582</v>
      </c>
      <c r="C6" s="88" t="s">
        <v>583</v>
      </c>
      <c r="D6" s="89"/>
      <c r="E6" s="89"/>
      <c r="F6" s="88" t="s">
        <v>584</v>
      </c>
      <c r="G6" s="87"/>
    </row>
    <row r="7" spans="1:7" ht="77.5" x14ac:dyDescent="0.35">
      <c r="A7" s="88" t="s">
        <v>518</v>
      </c>
      <c r="B7" s="88" t="s">
        <v>585</v>
      </c>
      <c r="C7" s="88" t="s">
        <v>586</v>
      </c>
      <c r="D7" s="89"/>
      <c r="E7" s="89"/>
      <c r="F7" s="88" t="s">
        <v>11</v>
      </c>
      <c r="G7" s="87"/>
    </row>
    <row r="8" spans="1:7" ht="77.5" x14ac:dyDescent="0.35">
      <c r="A8" s="88"/>
      <c r="B8" s="88"/>
      <c r="C8" s="88"/>
      <c r="D8" s="89"/>
      <c r="E8" s="89"/>
      <c r="F8" s="88" t="s">
        <v>29</v>
      </c>
      <c r="G8" s="87"/>
    </row>
    <row r="9" spans="1:7" ht="15.5" x14ac:dyDescent="0.35">
      <c r="A9" s="85" t="s">
        <v>456</v>
      </c>
      <c r="B9" s="85" t="s">
        <v>587</v>
      </c>
      <c r="C9" s="98" t="s">
        <v>588</v>
      </c>
      <c r="D9" s="88"/>
      <c r="E9" s="88"/>
      <c r="F9" s="88"/>
      <c r="G9" s="87"/>
    </row>
    <row r="10" spans="1:7" ht="31" customHeight="1" x14ac:dyDescent="0.35">
      <c r="A10" s="120" t="s">
        <v>589</v>
      </c>
      <c r="B10" s="120"/>
      <c r="C10" s="120"/>
      <c r="D10" s="120"/>
      <c r="E10" s="120"/>
      <c r="F10" s="120"/>
      <c r="G10" s="87"/>
    </row>
  </sheetData>
  <mergeCells count="6">
    <mergeCell ref="A10:F10"/>
    <mergeCell ref="D3:E3"/>
    <mergeCell ref="A3:A4"/>
    <mergeCell ref="B3:B4"/>
    <mergeCell ref="C3:C4"/>
    <mergeCell ref="F3:F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07"/>
  <sheetViews>
    <sheetView topLeftCell="D32" workbookViewId="0">
      <selection activeCell="G53" sqref="G53:H60"/>
    </sheetView>
  </sheetViews>
  <sheetFormatPr defaultRowHeight="14.5" x14ac:dyDescent="0.35"/>
  <cols>
    <col min="3" max="3" width="10.1796875" bestFit="1" customWidth="1"/>
    <col min="4" max="4" width="10.1796875" customWidth="1"/>
    <col min="5" max="5" width="12.1796875" bestFit="1" customWidth="1"/>
    <col min="6" max="7" width="17.54296875" customWidth="1"/>
    <col min="8" max="8" width="12.7265625" bestFit="1" customWidth="1"/>
    <col min="9" max="12" width="12.7265625" customWidth="1"/>
    <col min="13" max="13" width="11.1796875" bestFit="1" customWidth="1"/>
    <col min="17" max="17" width="11.26953125" bestFit="1" customWidth="1"/>
    <col min="18" max="18" width="12.7265625" bestFit="1" customWidth="1"/>
  </cols>
  <sheetData>
    <row r="1" spans="1:19" ht="15.5" x14ac:dyDescent="0.35">
      <c r="C1" s="19" t="s">
        <v>96</v>
      </c>
      <c r="D1" s="19"/>
      <c r="E1" s="130" t="s">
        <v>104</v>
      </c>
      <c r="F1" s="130"/>
      <c r="G1" s="8"/>
      <c r="H1" s="19" t="s">
        <v>103</v>
      </c>
      <c r="I1" s="130" t="s">
        <v>216</v>
      </c>
      <c r="J1" s="130"/>
      <c r="K1" s="130"/>
      <c r="L1" s="19" t="s">
        <v>114</v>
      </c>
      <c r="M1" s="19" t="s">
        <v>106</v>
      </c>
      <c r="N1" s="19" t="s">
        <v>107</v>
      </c>
    </row>
    <row r="2" spans="1:19" ht="15.5" x14ac:dyDescent="0.35">
      <c r="E2" s="19" t="s">
        <v>140</v>
      </c>
      <c r="F2" s="19" t="s">
        <v>117</v>
      </c>
      <c r="G2" s="19" t="s">
        <v>104</v>
      </c>
      <c r="I2" s="19" t="s">
        <v>168</v>
      </c>
      <c r="J2" s="19" t="s">
        <v>97</v>
      </c>
      <c r="K2" s="19" t="s">
        <v>216</v>
      </c>
    </row>
    <row r="3" spans="1:19" x14ac:dyDescent="0.35">
      <c r="A3">
        <v>2000</v>
      </c>
      <c r="B3">
        <v>1</v>
      </c>
      <c r="C3" s="24">
        <v>7081</v>
      </c>
      <c r="D3" s="7"/>
      <c r="E3" s="7">
        <v>1500</v>
      </c>
      <c r="F3" s="7">
        <v>8719</v>
      </c>
      <c r="G3" s="7">
        <v>13078500</v>
      </c>
      <c r="H3" s="6">
        <v>363.5</v>
      </c>
      <c r="I3" s="6">
        <v>23248.753769999999</v>
      </c>
      <c r="J3" s="6">
        <v>27275.254000000001</v>
      </c>
      <c r="K3" s="6">
        <v>-4026.5002300000015</v>
      </c>
      <c r="L3" s="6">
        <v>2073</v>
      </c>
      <c r="M3" s="7">
        <v>758726</v>
      </c>
      <c r="N3" s="7">
        <v>5753</v>
      </c>
      <c r="Q3" t="s">
        <v>328</v>
      </c>
      <c r="R3" t="s">
        <v>327</v>
      </c>
    </row>
    <row r="4" spans="1:19" x14ac:dyDescent="0.35">
      <c r="B4">
        <v>2</v>
      </c>
      <c r="C4" s="7">
        <v>7132</v>
      </c>
      <c r="D4" s="36">
        <v>7.2023725462505295E-3</v>
      </c>
      <c r="E4" s="7">
        <v>1600</v>
      </c>
      <c r="F4" s="7">
        <v>8738.5</v>
      </c>
      <c r="G4" s="7">
        <v>13981600</v>
      </c>
      <c r="H4" s="6">
        <v>365.25</v>
      </c>
      <c r="I4" s="6">
        <v>23657.893329999999</v>
      </c>
      <c r="J4" s="6">
        <v>27553.573</v>
      </c>
      <c r="K4" s="6">
        <v>-3895.6796700000014</v>
      </c>
      <c r="L4" s="6">
        <v>2181.5</v>
      </c>
      <c r="M4" s="7">
        <v>764503</v>
      </c>
      <c r="N4" s="7">
        <v>6073.5</v>
      </c>
      <c r="Q4" s="7">
        <v>7081</v>
      </c>
      <c r="R4" s="30">
        <v>-264651.88913664216</v>
      </c>
      <c r="S4" s="30">
        <v>271732.88913664216</v>
      </c>
    </row>
    <row r="5" spans="1:19" x14ac:dyDescent="0.35">
      <c r="A5">
        <v>2001</v>
      </c>
      <c r="B5">
        <v>1</v>
      </c>
      <c r="C5" s="7">
        <v>7183</v>
      </c>
      <c r="D5" s="36">
        <v>7.1508693213684802E-3</v>
      </c>
      <c r="E5" s="7">
        <v>1700</v>
      </c>
      <c r="F5" s="7">
        <v>8758</v>
      </c>
      <c r="G5" s="7">
        <v>14888600</v>
      </c>
      <c r="H5" s="6">
        <v>367</v>
      </c>
      <c r="I5" s="6">
        <v>24067.032890000002</v>
      </c>
      <c r="J5" s="6">
        <v>27831.892</v>
      </c>
      <c r="K5" s="6">
        <v>-3764.8591099999976</v>
      </c>
      <c r="L5" s="6">
        <v>2290</v>
      </c>
      <c r="M5" s="7">
        <v>770280</v>
      </c>
      <c r="N5" s="7">
        <v>6394</v>
      </c>
      <c r="Q5" s="7">
        <v>7132</v>
      </c>
      <c r="R5" s="30">
        <v>-266591.00314713223</v>
      </c>
      <c r="S5" s="30">
        <v>273723.00314713223</v>
      </c>
    </row>
    <row r="6" spans="1:19" x14ac:dyDescent="0.35">
      <c r="B6">
        <v>2</v>
      </c>
      <c r="C6" s="7">
        <v>7184.5</v>
      </c>
      <c r="D6" s="36">
        <v>2.0882639565641096E-4</v>
      </c>
      <c r="E6" s="7">
        <v>1750</v>
      </c>
      <c r="F6" s="7">
        <v>8777</v>
      </c>
      <c r="G6" s="7">
        <v>15359750</v>
      </c>
      <c r="H6" s="6">
        <v>348.5</v>
      </c>
      <c r="I6" s="6">
        <v>24312.614855</v>
      </c>
      <c r="J6" s="6">
        <v>28058.1675</v>
      </c>
      <c r="K6" s="6">
        <v>-3745.5526449999998</v>
      </c>
      <c r="L6" s="6">
        <v>2303</v>
      </c>
      <c r="M6" s="7">
        <v>778140</v>
      </c>
      <c r="N6" s="7">
        <v>6442.5</v>
      </c>
      <c r="Q6" s="7">
        <v>7183</v>
      </c>
      <c r="R6" s="30">
        <v>-268529.93541762227</v>
      </c>
      <c r="S6" s="30">
        <v>275712.93541762227</v>
      </c>
    </row>
    <row r="7" spans="1:19" x14ac:dyDescent="0.35">
      <c r="A7">
        <v>2002</v>
      </c>
      <c r="B7">
        <v>1</v>
      </c>
      <c r="C7" s="7">
        <v>7186</v>
      </c>
      <c r="D7" s="36">
        <v>2.0878279629758508E-4</v>
      </c>
      <c r="E7" s="7">
        <v>1800</v>
      </c>
      <c r="F7" s="7">
        <v>8796</v>
      </c>
      <c r="G7" s="7">
        <v>15832800</v>
      </c>
      <c r="H7" s="6">
        <v>330</v>
      </c>
      <c r="I7" s="6">
        <v>24558.196820000001</v>
      </c>
      <c r="J7" s="6">
        <v>28284.442999999999</v>
      </c>
      <c r="K7" s="6">
        <v>-3726.2461799999983</v>
      </c>
      <c r="L7" s="6">
        <v>2316</v>
      </c>
      <c r="M7" s="7">
        <v>786000</v>
      </c>
      <c r="N7" s="7">
        <v>6491</v>
      </c>
      <c r="Q7" s="7">
        <v>7184.5</v>
      </c>
      <c r="R7" s="30">
        <v>-271327.27239123429</v>
      </c>
      <c r="S7" s="30">
        <v>278511.77239123429</v>
      </c>
    </row>
    <row r="8" spans="1:19" x14ac:dyDescent="0.35">
      <c r="B8">
        <v>2</v>
      </c>
      <c r="C8" s="7">
        <v>7238.5</v>
      </c>
      <c r="D8" s="36">
        <v>7.3058725299192879E-3</v>
      </c>
      <c r="E8" s="7">
        <v>1900</v>
      </c>
      <c r="F8" s="7">
        <v>8814</v>
      </c>
      <c r="G8" s="7">
        <v>16746600</v>
      </c>
      <c r="H8" s="6">
        <v>340</v>
      </c>
      <c r="I8" s="6">
        <v>24860.141865000001</v>
      </c>
      <c r="J8" s="6">
        <v>28441.737999999998</v>
      </c>
      <c r="K8" s="6">
        <v>-3581.5961349999961</v>
      </c>
      <c r="L8" s="6">
        <v>2506</v>
      </c>
      <c r="M8" s="7">
        <v>795252</v>
      </c>
      <c r="N8" s="7">
        <v>6530.5</v>
      </c>
      <c r="Q8" s="7">
        <v>7186</v>
      </c>
      <c r="R8" s="30">
        <v>-274124.52082484629</v>
      </c>
      <c r="S8" s="30">
        <v>281310.52082484629</v>
      </c>
    </row>
    <row r="9" spans="1:19" x14ac:dyDescent="0.35">
      <c r="A9">
        <v>2003</v>
      </c>
      <c r="B9">
        <v>1</v>
      </c>
      <c r="C9" s="7">
        <v>7291</v>
      </c>
      <c r="D9" s="36">
        <v>7.2528838847827591E-3</v>
      </c>
      <c r="E9" s="7">
        <v>2000</v>
      </c>
      <c r="F9" s="7">
        <v>8832</v>
      </c>
      <c r="G9" s="7">
        <v>17664000</v>
      </c>
      <c r="H9" s="6">
        <v>350</v>
      </c>
      <c r="I9" s="6">
        <v>25162.086910000002</v>
      </c>
      <c r="J9" s="6">
        <v>28599.032999999999</v>
      </c>
      <c r="K9" s="6">
        <v>-3436.9460899999976</v>
      </c>
      <c r="L9" s="6">
        <v>2696</v>
      </c>
      <c r="M9" s="7">
        <v>804504</v>
      </c>
      <c r="N9" s="7">
        <v>6570</v>
      </c>
      <c r="Q9" s="7">
        <v>7238.5</v>
      </c>
      <c r="R9" s="30">
        <v>-277382.87368354021</v>
      </c>
      <c r="S9" s="30">
        <v>284621.37368354021</v>
      </c>
    </row>
    <row r="10" spans="1:19" x14ac:dyDescent="0.35">
      <c r="B10">
        <v>2</v>
      </c>
      <c r="C10" s="7">
        <v>7294</v>
      </c>
      <c r="D10" s="36">
        <v>4.1146619119462348E-4</v>
      </c>
      <c r="E10" s="7">
        <v>2150</v>
      </c>
      <c r="F10" s="7">
        <v>8849.5</v>
      </c>
      <c r="G10" s="7">
        <v>19026425</v>
      </c>
      <c r="H10" s="6">
        <v>340.5</v>
      </c>
      <c r="I10" s="6">
        <v>25314.893105000003</v>
      </c>
      <c r="J10" s="6">
        <v>28802.068500000001</v>
      </c>
      <c r="K10" s="6">
        <v>-3487.1753949999984</v>
      </c>
      <c r="L10" s="6">
        <v>2974</v>
      </c>
      <c r="M10" s="7">
        <v>844287</v>
      </c>
      <c r="N10" s="7">
        <v>6603.5</v>
      </c>
      <c r="Q10" s="7">
        <v>7291</v>
      </c>
      <c r="R10" s="30">
        <v>-280641.05878223415</v>
      </c>
      <c r="S10" s="30">
        <v>287932.05878223415</v>
      </c>
    </row>
    <row r="11" spans="1:19" x14ac:dyDescent="0.35">
      <c r="A11">
        <v>2004</v>
      </c>
      <c r="B11">
        <v>1</v>
      </c>
      <c r="C11" s="7">
        <v>7297</v>
      </c>
      <c r="D11" s="36">
        <v>4.1129695640252262E-4</v>
      </c>
      <c r="E11" s="7">
        <v>2300</v>
      </c>
      <c r="F11" s="7">
        <v>8867</v>
      </c>
      <c r="G11" s="7">
        <v>20394100</v>
      </c>
      <c r="H11" s="6">
        <v>331</v>
      </c>
      <c r="I11" s="6">
        <v>25467.6993</v>
      </c>
      <c r="J11" s="6">
        <v>29005.103999999999</v>
      </c>
      <c r="K11" s="6">
        <v>-3537.4046999999991</v>
      </c>
      <c r="L11" s="6">
        <v>3252</v>
      </c>
      <c r="M11" s="7">
        <v>884070</v>
      </c>
      <c r="N11" s="7">
        <v>6637</v>
      </c>
      <c r="Q11" s="7">
        <v>7294</v>
      </c>
      <c r="R11" s="30">
        <v>-294865.57003755606</v>
      </c>
      <c r="S11" s="30">
        <v>302159.57003755606</v>
      </c>
    </row>
    <row r="12" spans="1:19" x14ac:dyDescent="0.35">
      <c r="B12">
        <v>2</v>
      </c>
      <c r="C12" s="7">
        <v>7301.5</v>
      </c>
      <c r="D12" s="36">
        <v>6.1669179114704669E-4</v>
      </c>
      <c r="E12" s="7">
        <v>2400</v>
      </c>
      <c r="F12" s="7">
        <v>8884.5</v>
      </c>
      <c r="G12" s="7">
        <v>21322800</v>
      </c>
      <c r="H12" s="6">
        <v>311.5</v>
      </c>
      <c r="I12" s="6">
        <v>25648.50447</v>
      </c>
      <c r="J12" s="6">
        <v>29151.594499999999</v>
      </c>
      <c r="K12" s="6">
        <v>-3503.0900299999994</v>
      </c>
      <c r="L12" s="6">
        <v>3191</v>
      </c>
      <c r="M12" s="7">
        <v>890801.5</v>
      </c>
      <c r="N12" s="7">
        <v>6660</v>
      </c>
      <c r="Q12" s="7">
        <v>7297</v>
      </c>
      <c r="R12" s="30">
        <v>-309089.8366428779</v>
      </c>
      <c r="S12" s="30">
        <v>316386.8366428779</v>
      </c>
    </row>
    <row r="13" spans="1:19" x14ac:dyDescent="0.35">
      <c r="A13">
        <v>2005</v>
      </c>
      <c r="B13">
        <v>1</v>
      </c>
      <c r="C13" s="7">
        <v>7306</v>
      </c>
      <c r="D13" s="36">
        <v>6.1631171677052664E-4</v>
      </c>
      <c r="E13" s="7">
        <v>2500</v>
      </c>
      <c r="F13" s="7">
        <v>8902</v>
      </c>
      <c r="G13" s="7">
        <v>22255000</v>
      </c>
      <c r="H13" s="6">
        <v>292</v>
      </c>
      <c r="I13" s="6">
        <v>25829.309639999999</v>
      </c>
      <c r="J13" s="6">
        <v>29298.084999999999</v>
      </c>
      <c r="K13" s="6">
        <v>-3468.7753599999996</v>
      </c>
      <c r="L13" s="6">
        <v>3130</v>
      </c>
      <c r="M13" s="7">
        <v>897533</v>
      </c>
      <c r="N13" s="7">
        <v>6683</v>
      </c>
      <c r="Q13" s="7">
        <v>7301.5</v>
      </c>
      <c r="R13" s="30">
        <v>-311463.51371330075</v>
      </c>
      <c r="S13" s="30">
        <v>318765.01371330075</v>
      </c>
    </row>
    <row r="14" spans="1:19" x14ac:dyDescent="0.35">
      <c r="B14">
        <v>2</v>
      </c>
      <c r="C14" s="7">
        <v>7360.5</v>
      </c>
      <c r="D14" s="36">
        <v>7.4596222283055021E-3</v>
      </c>
      <c r="E14" s="7">
        <v>2700</v>
      </c>
      <c r="F14" s="7">
        <v>8919</v>
      </c>
      <c r="G14" s="7">
        <v>24081300</v>
      </c>
      <c r="H14" s="6">
        <v>294.5</v>
      </c>
      <c r="I14" s="6">
        <v>25956.651460000001</v>
      </c>
      <c r="J14" s="6">
        <v>29536.280999999999</v>
      </c>
      <c r="K14" s="6">
        <v>-3579.6295399999981</v>
      </c>
      <c r="L14" s="6">
        <v>3209.5</v>
      </c>
      <c r="M14" s="7">
        <v>911412.5</v>
      </c>
      <c r="N14" s="7">
        <v>6727.5</v>
      </c>
      <c r="Q14" s="7">
        <v>7306</v>
      </c>
      <c r="R14" s="30">
        <v>-313837.02768372349</v>
      </c>
      <c r="S14" s="30">
        <v>321143.02768372349</v>
      </c>
    </row>
    <row r="15" spans="1:19" x14ac:dyDescent="0.35">
      <c r="A15">
        <v>2006</v>
      </c>
      <c r="B15">
        <v>1</v>
      </c>
      <c r="C15" s="7">
        <v>7415</v>
      </c>
      <c r="D15" s="36">
        <v>7.4043882888390738E-3</v>
      </c>
      <c r="E15" s="7">
        <v>2900</v>
      </c>
      <c r="F15" s="7">
        <v>8936</v>
      </c>
      <c r="G15" s="7">
        <v>25914400</v>
      </c>
      <c r="H15" s="6">
        <v>297</v>
      </c>
      <c r="I15" s="6">
        <v>26083.993280000002</v>
      </c>
      <c r="J15" s="6">
        <v>29774.476999999999</v>
      </c>
      <c r="K15" s="6">
        <v>-3690.4837199999965</v>
      </c>
      <c r="L15" s="6">
        <v>3289</v>
      </c>
      <c r="M15" s="7">
        <v>925292</v>
      </c>
      <c r="N15" s="7">
        <v>6772</v>
      </c>
      <c r="Q15" s="7">
        <v>7360.5</v>
      </c>
      <c r="R15" s="30">
        <v>-318729.46561912581</v>
      </c>
      <c r="S15" s="30">
        <v>326089.96561912581</v>
      </c>
    </row>
    <row r="16" spans="1:19" x14ac:dyDescent="0.35">
      <c r="B16">
        <v>2</v>
      </c>
      <c r="C16" s="7">
        <v>7471</v>
      </c>
      <c r="D16" s="36">
        <v>7.5522589345920436E-3</v>
      </c>
      <c r="E16" s="7">
        <v>2950</v>
      </c>
      <c r="F16" s="7">
        <v>8945.5</v>
      </c>
      <c r="G16" s="7">
        <v>26389225</v>
      </c>
      <c r="H16" s="6">
        <v>287.25</v>
      </c>
      <c r="I16" s="6">
        <v>26668.721515000001</v>
      </c>
      <c r="J16" s="6">
        <v>30016.546000000002</v>
      </c>
      <c r="K16" s="6">
        <v>-3347.824485000001</v>
      </c>
      <c r="L16" s="6">
        <v>3441.5</v>
      </c>
      <c r="M16" s="7">
        <v>940586</v>
      </c>
      <c r="N16" s="7">
        <v>6822.5</v>
      </c>
      <c r="Q16" s="7">
        <v>7415</v>
      </c>
      <c r="R16" s="30">
        <v>-323621.58667452802</v>
      </c>
      <c r="S16" s="30">
        <v>331036.58667452802</v>
      </c>
    </row>
    <row r="17" spans="1:19" x14ac:dyDescent="0.35">
      <c r="A17">
        <v>2007</v>
      </c>
      <c r="B17">
        <v>1</v>
      </c>
      <c r="C17" s="7">
        <v>7527</v>
      </c>
      <c r="D17" s="36">
        <v>7.495649846071476E-3</v>
      </c>
      <c r="E17" s="7">
        <v>3000</v>
      </c>
      <c r="F17" s="7">
        <v>8955</v>
      </c>
      <c r="G17" s="7">
        <v>26865000</v>
      </c>
      <c r="H17" s="6">
        <v>277.5</v>
      </c>
      <c r="I17" s="6">
        <v>27253.44975</v>
      </c>
      <c r="J17" s="6">
        <v>30258.615000000002</v>
      </c>
      <c r="K17" s="6">
        <v>-3005.1652500000018</v>
      </c>
      <c r="L17" s="6">
        <v>3594</v>
      </c>
      <c r="M17" s="7">
        <v>955880</v>
      </c>
      <c r="N17" s="7">
        <v>6873</v>
      </c>
      <c r="Q17" s="7">
        <v>7471</v>
      </c>
      <c r="R17" s="30">
        <v>-329062.8518795112</v>
      </c>
      <c r="S17" s="30">
        <v>336533.8518795112</v>
      </c>
    </row>
    <row r="18" spans="1:19" x14ac:dyDescent="0.35">
      <c r="B18">
        <v>2</v>
      </c>
      <c r="C18" s="7">
        <v>7533.5</v>
      </c>
      <c r="D18" s="36">
        <v>8.6355785837651119E-4</v>
      </c>
      <c r="E18" s="7">
        <v>3250</v>
      </c>
      <c r="F18" s="7">
        <v>8968</v>
      </c>
      <c r="G18" s="7">
        <v>29146000</v>
      </c>
      <c r="H18" s="6">
        <v>208.25</v>
      </c>
      <c r="I18" s="6">
        <v>28311.902755000003</v>
      </c>
      <c r="J18" s="6">
        <v>30442.371500000001</v>
      </c>
      <c r="K18" s="6">
        <v>-2130.4687449999983</v>
      </c>
      <c r="L18" s="6">
        <v>3673</v>
      </c>
      <c r="M18" s="7">
        <v>968638.5</v>
      </c>
      <c r="N18" s="7">
        <v>6949.5</v>
      </c>
      <c r="Q18" s="7">
        <v>7527</v>
      </c>
      <c r="R18" s="30">
        <v>-334504.07281449425</v>
      </c>
      <c r="S18" s="30">
        <v>342031.07281449425</v>
      </c>
    </row>
    <row r="19" spans="1:19" x14ac:dyDescent="0.35">
      <c r="A19">
        <v>2008</v>
      </c>
      <c r="B19">
        <v>1</v>
      </c>
      <c r="C19" s="7">
        <v>7540</v>
      </c>
      <c r="D19" s="36">
        <v>8.6281276962899055E-4</v>
      </c>
      <c r="E19" s="7">
        <v>3500</v>
      </c>
      <c r="F19" s="7">
        <v>8981</v>
      </c>
      <c r="G19" s="7">
        <v>31433500</v>
      </c>
      <c r="H19" s="6">
        <v>139</v>
      </c>
      <c r="I19" s="6">
        <v>29370.355760000002</v>
      </c>
      <c r="J19" s="6">
        <v>30626.128000000001</v>
      </c>
      <c r="K19" s="6">
        <v>-1255.7722399999984</v>
      </c>
      <c r="L19" s="6">
        <v>3752</v>
      </c>
      <c r="M19" s="7">
        <v>981397</v>
      </c>
      <c r="N19" s="7">
        <v>7026</v>
      </c>
      <c r="Q19" s="7">
        <v>7533.5</v>
      </c>
      <c r="R19" s="30">
        <v>-338945.28950123198</v>
      </c>
      <c r="S19" s="30">
        <v>346478.78950123198</v>
      </c>
    </row>
    <row r="20" spans="1:19" x14ac:dyDescent="0.35">
      <c r="B20">
        <v>2</v>
      </c>
      <c r="C20" s="7">
        <v>7597.5</v>
      </c>
      <c r="D20" s="36">
        <v>7.6259946949602123E-3</v>
      </c>
      <c r="E20" s="7">
        <v>3650</v>
      </c>
      <c r="F20" s="7">
        <v>8995.5</v>
      </c>
      <c r="G20" s="7">
        <v>32833575</v>
      </c>
      <c r="H20" s="6">
        <v>160</v>
      </c>
      <c r="I20" s="6">
        <v>29638.867265000001</v>
      </c>
      <c r="J20" s="6">
        <v>30890.952000000001</v>
      </c>
      <c r="K20" s="6">
        <v>-1252.0847350000004</v>
      </c>
      <c r="L20" s="6">
        <v>3887</v>
      </c>
      <c r="M20" s="7">
        <v>1006138</v>
      </c>
      <c r="N20" s="7">
        <v>7172</v>
      </c>
      <c r="Q20" s="7">
        <v>7540</v>
      </c>
      <c r="R20" s="30">
        <v>-343386.20328796969</v>
      </c>
      <c r="S20" s="30">
        <v>350926.20328796969</v>
      </c>
    </row>
    <row r="21" spans="1:19" x14ac:dyDescent="0.35">
      <c r="A21">
        <v>2009</v>
      </c>
      <c r="B21">
        <v>1</v>
      </c>
      <c r="C21" s="7">
        <v>7655</v>
      </c>
      <c r="D21" s="36">
        <v>7.5682790391576179E-3</v>
      </c>
      <c r="E21" s="7">
        <v>3800</v>
      </c>
      <c r="F21" s="7">
        <v>9010</v>
      </c>
      <c r="G21" s="7">
        <v>34238000</v>
      </c>
      <c r="H21" s="6">
        <v>181</v>
      </c>
      <c r="I21" s="6">
        <v>29907.378769999999</v>
      </c>
      <c r="J21" s="6">
        <v>31155.776000000002</v>
      </c>
      <c r="K21" s="6">
        <v>-1248.3972300000023</v>
      </c>
      <c r="L21" s="6">
        <v>4022</v>
      </c>
      <c r="M21" s="7">
        <v>1030879</v>
      </c>
      <c r="N21" s="7">
        <v>7318</v>
      </c>
      <c r="Q21" s="7">
        <v>7597.5</v>
      </c>
      <c r="R21" s="30">
        <v>-352148.81657317042</v>
      </c>
      <c r="S21" s="30">
        <v>359746.31657317042</v>
      </c>
    </row>
    <row r="22" spans="1:19" x14ac:dyDescent="0.35">
      <c r="B22">
        <v>2</v>
      </c>
      <c r="C22" s="7">
        <v>7913</v>
      </c>
      <c r="D22" s="36">
        <v>3.370346178967995E-2</v>
      </c>
      <c r="E22" s="7">
        <v>3900</v>
      </c>
      <c r="F22" s="7">
        <v>9023.5</v>
      </c>
      <c r="G22" s="7">
        <v>35191650</v>
      </c>
      <c r="H22" s="6">
        <v>300.5</v>
      </c>
      <c r="I22" s="6">
        <v>31352.044750000001</v>
      </c>
      <c r="J22" s="6">
        <v>31329.039000000001</v>
      </c>
      <c r="K22" s="6">
        <v>23.005750000000262</v>
      </c>
      <c r="L22" s="6">
        <v>4108</v>
      </c>
      <c r="M22" s="7">
        <v>1046820.5</v>
      </c>
      <c r="N22" s="7">
        <v>7334.5</v>
      </c>
      <c r="Q22" s="7">
        <v>7655</v>
      </c>
      <c r="R22" s="30">
        <v>-360911.22714837111</v>
      </c>
      <c r="S22" s="30">
        <v>368566.22714837111</v>
      </c>
    </row>
    <row r="23" spans="1:19" x14ac:dyDescent="0.35">
      <c r="A23">
        <v>2010</v>
      </c>
      <c r="B23">
        <v>1</v>
      </c>
      <c r="C23" s="7">
        <v>8171</v>
      </c>
      <c r="D23" s="36">
        <v>3.2604574750410717E-2</v>
      </c>
      <c r="E23" s="7">
        <v>4000</v>
      </c>
      <c r="F23" s="7">
        <v>9037</v>
      </c>
      <c r="G23" s="7">
        <v>36148000</v>
      </c>
      <c r="H23" s="6">
        <v>420</v>
      </c>
      <c r="I23" s="6">
        <v>32796.710729999999</v>
      </c>
      <c r="J23" s="6">
        <v>31502.302</v>
      </c>
      <c r="K23" s="6">
        <v>1294.4087299999992</v>
      </c>
      <c r="L23" s="6">
        <v>4194</v>
      </c>
      <c r="M23" s="7">
        <v>1062762</v>
      </c>
      <c r="N23" s="7">
        <v>7351</v>
      </c>
      <c r="Q23" s="7">
        <v>7913</v>
      </c>
      <c r="R23" s="30">
        <v>-366407.01385394722</v>
      </c>
      <c r="S23" s="30">
        <v>374320.01385394722</v>
      </c>
    </row>
    <row r="24" spans="1:19" x14ac:dyDescent="0.35">
      <c r="B24">
        <v>2</v>
      </c>
      <c r="C24" s="7">
        <v>8230.5</v>
      </c>
      <c r="D24" s="36">
        <v>7.2818504467017497E-3</v>
      </c>
      <c r="E24" s="7">
        <v>4150</v>
      </c>
      <c r="F24" s="7">
        <v>9052.5</v>
      </c>
      <c r="G24" s="7">
        <v>37567875</v>
      </c>
      <c r="H24" s="6">
        <v>325.5</v>
      </c>
      <c r="I24" s="6">
        <v>33876.226289999999</v>
      </c>
      <c r="J24" s="6">
        <v>31840.1715</v>
      </c>
      <c r="K24" s="6">
        <v>2036.0547899999983</v>
      </c>
      <c r="L24" s="6">
        <v>4270.5</v>
      </c>
      <c r="M24" s="7">
        <v>1069761</v>
      </c>
      <c r="N24" s="7">
        <v>7371</v>
      </c>
      <c r="Q24" s="7">
        <v>8171</v>
      </c>
      <c r="R24" s="30">
        <v>-371902.67473952344</v>
      </c>
      <c r="S24" s="30">
        <v>380073.67473952344</v>
      </c>
    </row>
    <row r="25" spans="1:19" x14ac:dyDescent="0.35">
      <c r="A25">
        <v>2011</v>
      </c>
      <c r="B25">
        <v>1</v>
      </c>
      <c r="C25" s="7">
        <v>8290</v>
      </c>
      <c r="D25" s="36">
        <v>7.2292084320515161E-3</v>
      </c>
      <c r="E25" s="7">
        <v>4300</v>
      </c>
      <c r="F25" s="7">
        <v>9068</v>
      </c>
      <c r="G25" s="7">
        <v>38992400</v>
      </c>
      <c r="H25" s="6">
        <v>231</v>
      </c>
      <c r="I25" s="6">
        <v>34955.741849999999</v>
      </c>
      <c r="J25" s="6">
        <v>32178.041000000001</v>
      </c>
      <c r="K25" s="6">
        <v>2777.7008499999974</v>
      </c>
      <c r="L25" s="6">
        <v>4347</v>
      </c>
      <c r="M25" s="7">
        <v>1076760</v>
      </c>
      <c r="N25" s="7">
        <v>7391</v>
      </c>
      <c r="Q25" s="7">
        <v>8230.5</v>
      </c>
      <c r="R25" s="30">
        <v>-374360.94484255998</v>
      </c>
      <c r="S25" s="30">
        <v>382591.44484255998</v>
      </c>
    </row>
    <row r="26" spans="1:19" x14ac:dyDescent="0.35">
      <c r="B26">
        <v>2</v>
      </c>
      <c r="C26" s="7">
        <v>8566.5</v>
      </c>
      <c r="D26" s="36">
        <v>3.3353437876960192E-2</v>
      </c>
      <c r="E26" s="7">
        <v>4350</v>
      </c>
      <c r="F26" s="7">
        <v>9369</v>
      </c>
      <c r="G26" s="7">
        <v>40755150</v>
      </c>
      <c r="H26" s="6">
        <v>181.5</v>
      </c>
      <c r="I26" s="6">
        <v>35293.764389999997</v>
      </c>
      <c r="J26" s="6">
        <v>30802.459000000003</v>
      </c>
      <c r="K26" s="6">
        <v>4491.3053899999941</v>
      </c>
      <c r="L26" s="6">
        <v>4520.6499999999996</v>
      </c>
      <c r="M26" s="7">
        <v>2201241</v>
      </c>
      <c r="N26" s="7">
        <v>7640.5</v>
      </c>
      <c r="Q26" s="7">
        <v>8290</v>
      </c>
      <c r="R26" s="30">
        <v>-376818.99825559655</v>
      </c>
      <c r="S26" s="30">
        <v>385108.99825559655</v>
      </c>
    </row>
    <row r="27" spans="1:19" x14ac:dyDescent="0.35">
      <c r="A27">
        <v>2012</v>
      </c>
      <c r="B27">
        <v>1</v>
      </c>
      <c r="C27" s="7">
        <v>8843</v>
      </c>
      <c r="D27" s="36">
        <v>3.22768925465476E-2</v>
      </c>
      <c r="E27" s="7">
        <v>4400</v>
      </c>
      <c r="F27" s="7">
        <v>9670</v>
      </c>
      <c r="G27" s="7">
        <v>42548000</v>
      </c>
      <c r="H27" s="6">
        <v>132</v>
      </c>
      <c r="I27" s="6">
        <v>35631.786930000002</v>
      </c>
      <c r="J27" s="6">
        <v>29426.877</v>
      </c>
      <c r="K27" s="6">
        <v>6204.9099300000016</v>
      </c>
      <c r="L27" s="6">
        <v>4694.2999999999993</v>
      </c>
      <c r="M27" s="7">
        <v>3325722</v>
      </c>
      <c r="N27" s="7">
        <v>7890</v>
      </c>
      <c r="Q27" s="7">
        <v>8566.5</v>
      </c>
      <c r="R27" s="30">
        <v>-779977.18930464587</v>
      </c>
      <c r="S27" s="30">
        <v>788543.68930464587</v>
      </c>
    </row>
    <row r="28" spans="1:19" x14ac:dyDescent="0.35">
      <c r="B28">
        <v>2</v>
      </c>
      <c r="C28" s="7">
        <v>9117</v>
      </c>
      <c r="D28" s="36">
        <v>3.0984959855252743E-2</v>
      </c>
      <c r="E28" s="7">
        <v>4600</v>
      </c>
      <c r="F28" s="7">
        <v>10929.5</v>
      </c>
      <c r="G28" s="7">
        <v>50275700</v>
      </c>
      <c r="H28" s="6">
        <v>195</v>
      </c>
      <c r="I28" s="6">
        <v>35384.048620000001</v>
      </c>
      <c r="J28" s="6">
        <v>30069.7075</v>
      </c>
      <c r="K28" s="6">
        <v>5314.341120000001</v>
      </c>
      <c r="L28" s="6">
        <v>4961.1499999999996</v>
      </c>
      <c r="M28" s="7">
        <v>3305074.5</v>
      </c>
      <c r="N28" s="7">
        <v>8266.5</v>
      </c>
      <c r="Q28" s="7">
        <v>8843</v>
      </c>
      <c r="R28" s="30">
        <v>-1183133.9776936951</v>
      </c>
      <c r="S28" s="30">
        <v>1191976.9776936951</v>
      </c>
    </row>
    <row r="29" spans="1:19" x14ac:dyDescent="0.35">
      <c r="A29">
        <v>2013</v>
      </c>
      <c r="B29">
        <v>1</v>
      </c>
      <c r="C29" s="7">
        <v>9391</v>
      </c>
      <c r="D29" s="36">
        <v>3.0053745749698366E-2</v>
      </c>
      <c r="E29" s="7">
        <v>4800</v>
      </c>
      <c r="F29" s="7">
        <v>12189</v>
      </c>
      <c r="G29" s="7">
        <v>58507200</v>
      </c>
      <c r="H29" s="6">
        <v>258</v>
      </c>
      <c r="I29" s="6">
        <v>35136.310310000001</v>
      </c>
      <c r="J29" s="6">
        <v>30712.538</v>
      </c>
      <c r="K29" s="6">
        <v>4423.7723100000003</v>
      </c>
      <c r="L29" s="6">
        <v>5228</v>
      </c>
      <c r="M29" s="7">
        <v>3284427</v>
      </c>
      <c r="N29" s="7">
        <v>8643</v>
      </c>
      <c r="Q29" s="7">
        <v>9117</v>
      </c>
      <c r="R29" s="30">
        <v>-1175298.7515478302</v>
      </c>
      <c r="S29" s="30">
        <v>1184415.7515478302</v>
      </c>
    </row>
    <row r="30" spans="1:19" x14ac:dyDescent="0.35">
      <c r="B30">
        <v>2</v>
      </c>
      <c r="C30" s="7">
        <v>9749.5</v>
      </c>
      <c r="D30" s="36">
        <v>3.8174848258971356E-2</v>
      </c>
      <c r="E30" s="7">
        <v>5250</v>
      </c>
      <c r="F30" s="7">
        <v>12314.5</v>
      </c>
      <c r="G30" s="7">
        <v>64651125</v>
      </c>
      <c r="H30" s="6">
        <v>263.5</v>
      </c>
      <c r="I30" s="6">
        <v>34706.661120000004</v>
      </c>
      <c r="J30" s="6">
        <v>32077.205000000002</v>
      </c>
      <c r="K30" s="6">
        <v>2629.4561200000026</v>
      </c>
      <c r="L30" s="6">
        <v>5278</v>
      </c>
      <c r="M30" s="7">
        <v>2743681</v>
      </c>
      <c r="N30" s="7">
        <v>8792</v>
      </c>
      <c r="Q30" s="7">
        <v>9391</v>
      </c>
      <c r="R30" s="30">
        <v>-1167440.0483219654</v>
      </c>
      <c r="S30" s="30">
        <v>1176831.0483219654</v>
      </c>
    </row>
    <row r="31" spans="1:19" x14ac:dyDescent="0.35">
      <c r="A31">
        <v>2014</v>
      </c>
      <c r="B31">
        <v>1</v>
      </c>
      <c r="C31" s="7">
        <v>10108</v>
      </c>
      <c r="D31" s="36">
        <v>3.6771116467511154E-2</v>
      </c>
      <c r="E31" s="7">
        <v>5700</v>
      </c>
      <c r="F31" s="7">
        <v>12440</v>
      </c>
      <c r="G31" s="7">
        <v>70908000</v>
      </c>
      <c r="H31" s="6">
        <v>269</v>
      </c>
      <c r="I31" s="6">
        <v>34277.011930000001</v>
      </c>
      <c r="J31" s="6">
        <v>33441.872000000003</v>
      </c>
      <c r="K31" s="6">
        <v>835.13992999999755</v>
      </c>
      <c r="L31" s="6">
        <v>5328</v>
      </c>
      <c r="M31" s="7">
        <v>2202935</v>
      </c>
      <c r="N31" s="7">
        <v>8941</v>
      </c>
      <c r="Q31" s="7">
        <v>9749.5</v>
      </c>
      <c r="R31" s="30">
        <v>-973259.80102802522</v>
      </c>
      <c r="S31" s="30">
        <v>983009.30102802522</v>
      </c>
    </row>
    <row r="32" spans="1:19" x14ac:dyDescent="0.35">
      <c r="B32">
        <v>2</v>
      </c>
      <c r="C32" s="7">
        <v>10751.5</v>
      </c>
      <c r="D32" s="36">
        <v>6.3662445587653341E-2</v>
      </c>
      <c r="E32" s="7">
        <v>6250</v>
      </c>
      <c r="F32" s="7">
        <v>13117.5</v>
      </c>
      <c r="G32" s="7">
        <v>81984375</v>
      </c>
      <c r="H32" s="6">
        <v>272</v>
      </c>
      <c r="I32" s="6">
        <v>36493.016075</v>
      </c>
      <c r="J32" s="6">
        <v>34821.548500000004</v>
      </c>
      <c r="K32" s="6">
        <v>1671.4675749999951</v>
      </c>
      <c r="L32" s="6">
        <v>5477.5</v>
      </c>
      <c r="M32" s="7">
        <v>2030705</v>
      </c>
      <c r="N32" s="7">
        <v>9289.5</v>
      </c>
      <c r="Q32" s="7">
        <v>10108</v>
      </c>
      <c r="R32" s="30">
        <v>-779074.29026408505</v>
      </c>
      <c r="S32" s="30">
        <v>789182.29026408505</v>
      </c>
    </row>
    <row r="33" spans="1:19" x14ac:dyDescent="0.35">
      <c r="A33">
        <v>2015</v>
      </c>
      <c r="B33">
        <v>1</v>
      </c>
      <c r="C33" s="7">
        <v>11395</v>
      </c>
      <c r="D33" s="36">
        <v>5.9852113658559268E-2</v>
      </c>
      <c r="E33" s="7">
        <v>6800</v>
      </c>
      <c r="F33" s="7">
        <v>13795</v>
      </c>
      <c r="G33" s="7">
        <v>93806000</v>
      </c>
      <c r="H33" s="6">
        <v>275</v>
      </c>
      <c r="I33" s="6">
        <v>38709.020219999999</v>
      </c>
      <c r="J33" s="6">
        <v>36201.224999999999</v>
      </c>
      <c r="K33" s="6">
        <v>2507.79522</v>
      </c>
      <c r="L33" s="6">
        <v>5627</v>
      </c>
      <c r="M33" s="7">
        <v>1858475</v>
      </c>
      <c r="N33" s="7">
        <v>9638</v>
      </c>
      <c r="Q33" s="7">
        <v>10751.5</v>
      </c>
      <c r="R33" s="30">
        <v>-716625.42867017572</v>
      </c>
      <c r="S33" s="30">
        <v>727376.92867017572</v>
      </c>
    </row>
    <row r="34" spans="1:19" x14ac:dyDescent="0.35">
      <c r="B34">
        <v>2</v>
      </c>
      <c r="C34" s="7">
        <v>11728</v>
      </c>
      <c r="D34" s="36">
        <v>2.9223343571741993E-2</v>
      </c>
      <c r="E34" s="7">
        <v>6500</v>
      </c>
      <c r="F34" s="7">
        <v>13615.5</v>
      </c>
      <c r="G34" s="7">
        <v>88500750</v>
      </c>
      <c r="H34" s="6">
        <v>293</v>
      </c>
      <c r="I34" s="6">
        <v>42214.642114999995</v>
      </c>
      <c r="J34" s="6">
        <v>37629.629000000001</v>
      </c>
      <c r="K34" s="6">
        <v>4585.0131149999943</v>
      </c>
      <c r="L34" s="6">
        <v>5875</v>
      </c>
      <c r="M34" s="7">
        <v>2351914</v>
      </c>
      <c r="N34" s="7">
        <v>10276.5</v>
      </c>
      <c r="Q34" s="7">
        <v>11395</v>
      </c>
      <c r="R34" s="30">
        <v>-654141.83842626656</v>
      </c>
      <c r="S34" s="30">
        <v>665536.83842626656</v>
      </c>
    </row>
    <row r="35" spans="1:19" x14ac:dyDescent="0.35">
      <c r="A35">
        <v>2016</v>
      </c>
      <c r="B35">
        <v>1</v>
      </c>
      <c r="C35" s="7">
        <v>12061</v>
      </c>
      <c r="D35" s="36">
        <v>2.8393587994542974E-2</v>
      </c>
      <c r="E35" s="7">
        <v>6200</v>
      </c>
      <c r="F35" s="7">
        <v>13436</v>
      </c>
      <c r="G35" s="7">
        <v>83303200</v>
      </c>
      <c r="H35" s="6">
        <v>311</v>
      </c>
      <c r="I35" s="6">
        <v>45720.264009999999</v>
      </c>
      <c r="J35" s="6">
        <v>39058.033000000003</v>
      </c>
      <c r="K35" s="6">
        <v>6662.2310099999959</v>
      </c>
      <c r="L35" s="6">
        <v>6123</v>
      </c>
      <c r="M35" s="7">
        <v>2845353</v>
      </c>
      <c r="N35" s="7">
        <v>10915</v>
      </c>
      <c r="Q35" s="7">
        <v>11728</v>
      </c>
      <c r="R35" s="30">
        <v>-831079.01397803798</v>
      </c>
      <c r="S35" s="30">
        <v>842807.01397803798</v>
      </c>
    </row>
    <row r="36" spans="1:19" x14ac:dyDescent="0.35">
      <c r="B36">
        <v>2</v>
      </c>
      <c r="C36" s="7">
        <v>12123</v>
      </c>
      <c r="D36" s="36">
        <v>5.1405356106458836E-3</v>
      </c>
      <c r="E36" s="7">
        <v>6250</v>
      </c>
      <c r="F36" s="7">
        <v>13492</v>
      </c>
      <c r="G36" s="7">
        <v>84325000</v>
      </c>
      <c r="H36" s="6">
        <v>336.5</v>
      </c>
      <c r="I36" s="6">
        <v>51561.086899999995</v>
      </c>
      <c r="J36" s="6">
        <v>43875.9565</v>
      </c>
      <c r="K36" s="6">
        <v>7685.1303999999946</v>
      </c>
      <c r="L36" s="6">
        <v>6482</v>
      </c>
      <c r="M36" s="7">
        <v>3085537.5</v>
      </c>
      <c r="N36" s="7">
        <v>11213</v>
      </c>
      <c r="Q36" s="7">
        <v>12061</v>
      </c>
      <c r="R36" s="30">
        <v>-1008011.1707098094</v>
      </c>
      <c r="S36" s="30">
        <v>1020072.1707098094</v>
      </c>
    </row>
    <row r="37" spans="1:19" x14ac:dyDescent="0.35">
      <c r="A37">
        <v>2017</v>
      </c>
      <c r="B37">
        <v>1</v>
      </c>
      <c r="C37" s="7">
        <v>12185</v>
      </c>
      <c r="D37" s="36">
        <v>5.1142456487668067E-3</v>
      </c>
      <c r="E37" s="7">
        <v>6300</v>
      </c>
      <c r="F37" s="7">
        <v>13548</v>
      </c>
      <c r="G37" s="7">
        <v>85352400</v>
      </c>
      <c r="H37" s="6">
        <v>362</v>
      </c>
      <c r="I37" s="6">
        <v>57401.909789999998</v>
      </c>
      <c r="J37" s="6">
        <v>48693.88</v>
      </c>
      <c r="K37" s="6">
        <v>8708.0297900000005</v>
      </c>
      <c r="L37" s="6">
        <v>6841</v>
      </c>
      <c r="M37" s="7">
        <v>3325722</v>
      </c>
      <c r="N37" s="7">
        <v>11511</v>
      </c>
      <c r="Q37" s="7">
        <v>12123</v>
      </c>
      <c r="R37" s="30">
        <v>-1093971.8782336472</v>
      </c>
      <c r="S37" s="30">
        <v>1106094.8782336472</v>
      </c>
    </row>
    <row r="38" spans="1:19" x14ac:dyDescent="0.35">
      <c r="B38">
        <v>2</v>
      </c>
      <c r="C38" s="7">
        <v>12494.5</v>
      </c>
      <c r="D38" s="36">
        <v>2.5400082068116538E-2</v>
      </c>
      <c r="E38" s="7">
        <v>6350</v>
      </c>
      <c r="F38" s="7">
        <v>14014.5</v>
      </c>
      <c r="G38" s="7">
        <v>88992075</v>
      </c>
      <c r="H38" s="6">
        <v>387.5</v>
      </c>
      <c r="I38" s="6">
        <v>57383.614934999998</v>
      </c>
      <c r="J38" s="6">
        <v>51786.388500000001</v>
      </c>
      <c r="K38" s="6">
        <v>5597.2264349999969</v>
      </c>
      <c r="L38" s="6">
        <v>6676.5</v>
      </c>
      <c r="M38" s="7">
        <v>2365280.5</v>
      </c>
      <c r="N38" s="7">
        <v>11523</v>
      </c>
      <c r="Q38" s="7">
        <v>12185</v>
      </c>
      <c r="R38" s="30">
        <v>-1179932.3247974853</v>
      </c>
      <c r="S38" s="30">
        <v>1192117.3247974853</v>
      </c>
    </row>
    <row r="39" spans="1:19" x14ac:dyDescent="0.35">
      <c r="A39">
        <v>2018</v>
      </c>
      <c r="B39">
        <v>1</v>
      </c>
      <c r="C39" s="7">
        <v>12804</v>
      </c>
      <c r="D39" s="36">
        <v>2.4770899195646085E-2</v>
      </c>
      <c r="E39" s="7">
        <v>6400</v>
      </c>
      <c r="F39" s="7">
        <v>14481</v>
      </c>
      <c r="G39" s="7">
        <v>92678400</v>
      </c>
      <c r="H39" s="6">
        <v>413</v>
      </c>
      <c r="I39" s="6">
        <v>57365.320079999998</v>
      </c>
      <c r="J39" s="6">
        <v>54878.896999999997</v>
      </c>
      <c r="K39" s="6">
        <v>2486.4230800000005</v>
      </c>
      <c r="L39" s="6">
        <v>6512</v>
      </c>
      <c r="M39" s="7">
        <v>1404839</v>
      </c>
      <c r="N39" s="7">
        <v>11535</v>
      </c>
      <c r="Q39" s="7">
        <v>12494.5</v>
      </c>
      <c r="R39" s="30">
        <v>-835416.9910523427</v>
      </c>
      <c r="S39" s="30">
        <v>847911.4910523427</v>
      </c>
    </row>
    <row r="40" spans="1:19" x14ac:dyDescent="0.35">
      <c r="B40">
        <v>2</v>
      </c>
      <c r="C40" s="7">
        <v>12847.5</v>
      </c>
      <c r="D40" s="36">
        <v>3.3973758200562323E-3</v>
      </c>
      <c r="E40" s="7">
        <v>6450</v>
      </c>
      <c r="F40" s="7">
        <v>14191</v>
      </c>
      <c r="G40" s="7">
        <v>91531950</v>
      </c>
      <c r="H40" s="6">
        <v>426</v>
      </c>
      <c r="I40" s="6">
        <v>55138.315644999995</v>
      </c>
      <c r="J40" s="6">
        <v>51847.452499999999</v>
      </c>
      <c r="K40" s="6">
        <v>3290.8631449999957</v>
      </c>
      <c r="L40" s="6">
        <v>6535</v>
      </c>
      <c r="M40" s="7">
        <v>1253724.5</v>
      </c>
      <c r="N40" s="7">
        <v>11794.5</v>
      </c>
      <c r="Q40" s="7">
        <v>12804</v>
      </c>
      <c r="R40" s="30">
        <v>-490899.48341720045</v>
      </c>
      <c r="S40" s="30">
        <v>503703.48341720045</v>
      </c>
    </row>
    <row r="41" spans="1:19" x14ac:dyDescent="0.35">
      <c r="A41">
        <v>2019</v>
      </c>
      <c r="B41">
        <v>1</v>
      </c>
      <c r="C41" s="7">
        <v>12891</v>
      </c>
      <c r="D41" s="36">
        <v>3.3858727378867485E-3</v>
      </c>
      <c r="E41" s="7">
        <v>6500</v>
      </c>
      <c r="F41" s="7">
        <v>13901</v>
      </c>
      <c r="G41" s="7">
        <v>90356500</v>
      </c>
      <c r="H41" s="6">
        <v>439</v>
      </c>
      <c r="I41" s="6">
        <v>52911.31121</v>
      </c>
      <c r="J41" s="6">
        <v>48816.008000000002</v>
      </c>
      <c r="K41" s="6">
        <v>4095.3032099999982</v>
      </c>
      <c r="L41" s="6">
        <v>6558</v>
      </c>
      <c r="M41" s="7">
        <v>1102610</v>
      </c>
      <c r="N41" s="7">
        <v>12054</v>
      </c>
      <c r="Q41" s="7">
        <v>12847.5</v>
      </c>
      <c r="R41" s="30">
        <v>-436607.14696591726</v>
      </c>
      <c r="S41" s="30">
        <v>449454.64696591726</v>
      </c>
    </row>
    <row r="42" spans="1:19" x14ac:dyDescent="0.35">
      <c r="B42">
        <v>2</v>
      </c>
      <c r="C42" s="7">
        <v>13013.5</v>
      </c>
      <c r="D42" s="36">
        <v>9.5027538592816693E-3</v>
      </c>
      <c r="E42" s="7">
        <v>6700</v>
      </c>
      <c r="F42" s="7">
        <v>14003</v>
      </c>
      <c r="G42" s="7">
        <v>93820100</v>
      </c>
      <c r="H42" s="6">
        <v>445.75</v>
      </c>
      <c r="I42" s="6">
        <v>52933.196995000006</v>
      </c>
      <c r="J42" s="6">
        <v>42934.085500000001</v>
      </c>
      <c r="K42" s="6">
        <v>9999.1114950000047</v>
      </c>
      <c r="L42" s="6">
        <v>6377.5</v>
      </c>
      <c r="M42" s="7">
        <v>1167714.5</v>
      </c>
      <c r="N42" s="7">
        <v>12072.5</v>
      </c>
      <c r="Q42" s="7">
        <v>12891</v>
      </c>
      <c r="R42" s="30">
        <v>-382316.16191463411</v>
      </c>
      <c r="S42" s="30">
        <v>395207.16191463411</v>
      </c>
    </row>
    <row r="43" spans="1:19" x14ac:dyDescent="0.35">
      <c r="A43">
        <v>2020</v>
      </c>
      <c r="B43">
        <v>1</v>
      </c>
      <c r="C43" s="7">
        <v>13136</v>
      </c>
      <c r="D43" s="36">
        <v>9.4133015714450378E-3</v>
      </c>
      <c r="E43" s="7">
        <v>6900</v>
      </c>
      <c r="F43" s="7">
        <v>14105</v>
      </c>
      <c r="G43" s="7">
        <v>97324500</v>
      </c>
      <c r="H43" s="6">
        <v>452.5</v>
      </c>
      <c r="I43" s="6">
        <v>52955.082780000004</v>
      </c>
      <c r="J43" s="6">
        <v>37052.163</v>
      </c>
      <c r="K43" s="6">
        <v>15902.919780000004</v>
      </c>
      <c r="L43" s="6">
        <v>6197</v>
      </c>
      <c r="M43" s="7">
        <v>1232819</v>
      </c>
      <c r="N43" s="7">
        <v>12091</v>
      </c>
      <c r="Q43" s="7">
        <v>13013.5</v>
      </c>
      <c r="R43" s="30">
        <v>-405062.89062480628</v>
      </c>
      <c r="S43" s="30">
        <v>418076.39062480628</v>
      </c>
    </row>
    <row r="44" spans="1:19" x14ac:dyDescent="0.35">
      <c r="B44">
        <v>2</v>
      </c>
      <c r="C44" s="7">
        <v>13074.75</v>
      </c>
      <c r="D44" s="36">
        <v>-4.662758830694275E-3</v>
      </c>
      <c r="E44" s="7">
        <v>4200</v>
      </c>
      <c r="F44" s="7">
        <v>11412</v>
      </c>
      <c r="G44" s="7">
        <v>47930400</v>
      </c>
      <c r="H44" s="6">
        <v>449.125</v>
      </c>
      <c r="I44" s="6">
        <v>52944.139887500001</v>
      </c>
      <c r="J44" s="6">
        <v>39993.124250000001</v>
      </c>
      <c r="K44" s="6">
        <v>12951.015637500001</v>
      </c>
      <c r="L44" s="6">
        <v>6287.25</v>
      </c>
      <c r="M44" s="7">
        <v>1200266.75</v>
      </c>
      <c r="N44" s="7">
        <v>12201</v>
      </c>
      <c r="Q44" s="7">
        <v>13136</v>
      </c>
      <c r="R44" s="30">
        <v>-427807.71805497853</v>
      </c>
      <c r="S44" s="30">
        <v>440943.71805497853</v>
      </c>
    </row>
    <row r="45" spans="1:19" x14ac:dyDescent="0.35">
      <c r="A45">
        <v>2021</v>
      </c>
      <c r="B45">
        <v>1</v>
      </c>
      <c r="C45" s="7">
        <v>12928.1759581882</v>
      </c>
      <c r="D45" s="36">
        <v>-1.121046611306528E-2</v>
      </c>
      <c r="E45" s="7">
        <v>7139.0243902438997</v>
      </c>
      <c r="F45" s="7">
        <v>14106.328687572601</v>
      </c>
      <c r="G45" s="7">
        <v>100705424.55737801</v>
      </c>
      <c r="H45" s="6">
        <v>344.09959349593498</v>
      </c>
      <c r="I45" s="6">
        <v>53905.8137566027</v>
      </c>
      <c r="J45" s="6">
        <v>44703.189894889598</v>
      </c>
      <c r="K45" s="6">
        <v>9202.6238617131021</v>
      </c>
      <c r="L45" s="6">
        <v>7029.09651567944</v>
      </c>
      <c r="M45" s="7">
        <v>2354268.4976771199</v>
      </c>
      <c r="N45" s="7">
        <v>12311</v>
      </c>
      <c r="Q45" s="7">
        <v>13074.75</v>
      </c>
      <c r="R45" s="30">
        <v>-418623.28854489245</v>
      </c>
      <c r="S45" s="30">
        <v>431698.03854489245</v>
      </c>
    </row>
    <row r="46" spans="1:19" x14ac:dyDescent="0.35">
      <c r="B46">
        <v>2</v>
      </c>
      <c r="C46" s="7">
        <v>13099.277996110501</v>
      </c>
      <c r="D46" s="36">
        <v>1.3234816611072781E-2</v>
      </c>
      <c r="E46" s="7">
        <v>7277.71655457418</v>
      </c>
      <c r="F46" s="7">
        <v>14265.36944602</v>
      </c>
      <c r="G46" s="7">
        <v>103819315.37441646</v>
      </c>
      <c r="H46" s="6">
        <v>345.68326783350898</v>
      </c>
      <c r="I46" s="6">
        <v>54760.281644426497</v>
      </c>
      <c r="J46" s="6">
        <v>45192.185768461502</v>
      </c>
      <c r="K46" s="6">
        <v>9568.0958759649948</v>
      </c>
      <c r="L46" s="6">
        <v>7149.7423669070604</v>
      </c>
      <c r="M46" s="7">
        <v>2393737.8361626598</v>
      </c>
      <c r="N46" s="7">
        <v>12256</v>
      </c>
      <c r="Q46" s="7">
        <v>12928.1759581882</v>
      </c>
      <c r="R46" s="30">
        <v>-830498.2719233688</v>
      </c>
      <c r="S46" s="30">
        <v>843426.44788155705</v>
      </c>
    </row>
    <row r="47" spans="1:19" x14ac:dyDescent="0.35">
      <c r="A47">
        <v>2022</v>
      </c>
      <c r="B47">
        <v>1</v>
      </c>
      <c r="C47" s="7">
        <v>13270.3800340329</v>
      </c>
      <c r="D47" s="36">
        <v>1.306194417533574E-2</v>
      </c>
      <c r="E47" s="7">
        <v>7416.4087189044603</v>
      </c>
      <c r="F47" s="7">
        <v>14424.4102044675</v>
      </c>
      <c r="G47" s="7">
        <v>106977321.60546723</v>
      </c>
      <c r="H47" s="6">
        <v>347.26694217108297</v>
      </c>
      <c r="I47" s="6">
        <v>55614.7495322502</v>
      </c>
      <c r="J47" s="6">
        <v>45681.181642033298</v>
      </c>
      <c r="K47" s="6">
        <v>9933.567890216902</v>
      </c>
      <c r="L47" s="6">
        <v>7270.3882181346698</v>
      </c>
      <c r="M47" s="7">
        <v>2433207.1746482002</v>
      </c>
      <c r="N47" s="7">
        <v>12321.833914053401</v>
      </c>
      <c r="Q47" s="7">
        <v>13099.277996110501</v>
      </c>
      <c r="R47" s="30">
        <v>-844505.81841118424</v>
      </c>
      <c r="S47" s="30">
        <v>857605.09640729474</v>
      </c>
    </row>
    <row r="48" spans="1:19" x14ac:dyDescent="0.35">
      <c r="B48">
        <v>2</v>
      </c>
      <c r="C48" s="7">
        <v>13441.482071955301</v>
      </c>
      <c r="D48" s="36">
        <v>1.2893529611329653E-2</v>
      </c>
      <c r="E48" s="7">
        <v>7555.1008832347397</v>
      </c>
      <c r="F48" s="7">
        <v>14583.4509629149</v>
      </c>
      <c r="G48" s="7">
        <v>110179443.25052887</v>
      </c>
      <c r="H48" s="6">
        <v>348.85061650865703</v>
      </c>
      <c r="I48" s="6">
        <v>56469.217420073903</v>
      </c>
      <c r="J48" s="6">
        <v>46170.177515605101</v>
      </c>
      <c r="K48" s="6">
        <v>10299.039904468802</v>
      </c>
      <c r="L48" s="6">
        <v>7391.0340693622902</v>
      </c>
      <c r="M48" s="7">
        <v>2472676.5131337298</v>
      </c>
      <c r="N48" s="7">
        <v>12490.763619912001</v>
      </c>
      <c r="Q48" s="7">
        <v>13270.3800340329</v>
      </c>
      <c r="R48" s="30">
        <v>-858478.75404758274</v>
      </c>
      <c r="S48" s="30">
        <v>871749.1340816156</v>
      </c>
    </row>
    <row r="49" spans="1:19" x14ac:dyDescent="0.35">
      <c r="A49" s="37">
        <v>2023</v>
      </c>
      <c r="B49" s="37"/>
      <c r="C49" s="7">
        <v>13612.5841098776</v>
      </c>
      <c r="D49" s="36">
        <v>1.2729402680920984E-2</v>
      </c>
      <c r="E49" s="7"/>
      <c r="F49" s="7"/>
      <c r="G49" s="7"/>
      <c r="H49" s="6"/>
      <c r="I49" s="6"/>
      <c r="J49" s="6"/>
      <c r="K49" s="6"/>
      <c r="L49" s="6"/>
      <c r="M49" s="7"/>
      <c r="N49" s="7"/>
      <c r="Q49" s="7">
        <v>13441.482071955301</v>
      </c>
      <c r="R49" s="30">
        <v>-872421.85783745628</v>
      </c>
      <c r="S49" s="30">
        <v>885863.33990941162</v>
      </c>
    </row>
    <row r="50" spans="1:19" x14ac:dyDescent="0.35">
      <c r="A50" s="37">
        <v>2024</v>
      </c>
      <c r="B50" s="37"/>
      <c r="C50" s="7">
        <v>13783.686147799999</v>
      </c>
      <c r="D50" s="36">
        <v>1.2569401705165123E-2</v>
      </c>
      <c r="R50" t="s">
        <v>315</v>
      </c>
      <c r="S50" s="30">
        <v>26109105.308481067</v>
      </c>
    </row>
    <row r="51" spans="1:19" x14ac:dyDescent="0.35">
      <c r="A51" s="37">
        <v>2025</v>
      </c>
      <c r="B51" s="37"/>
      <c r="C51" s="7">
        <v>13954.7881857224</v>
      </c>
      <c r="D51" s="36">
        <v>1.2413373032997449E-2</v>
      </c>
      <c r="R51" t="s">
        <v>316</v>
      </c>
      <c r="S51" s="30">
        <v>567589.2458365449</v>
      </c>
    </row>
    <row r="52" spans="1:19" x14ac:dyDescent="0.35">
      <c r="A52" s="37">
        <v>2026</v>
      </c>
      <c r="B52" s="37"/>
      <c r="C52" s="7">
        <v>14125.890223644799</v>
      </c>
      <c r="D52" s="36">
        <v>1.2261170549149521E-2</v>
      </c>
      <c r="G52" t="s">
        <v>310</v>
      </c>
      <c r="R52" t="s">
        <v>331</v>
      </c>
      <c r="S52">
        <v>753.38519087950283</v>
      </c>
    </row>
    <row r="53" spans="1:19" ht="15.5" x14ac:dyDescent="0.35">
      <c r="A53" s="37">
        <v>2027</v>
      </c>
      <c r="B53" s="37"/>
      <c r="C53" s="7">
        <v>14296.9922615671</v>
      </c>
      <c r="D53" s="36">
        <v>1.2112655217715033E-2</v>
      </c>
      <c r="G53" s="19" t="s">
        <v>104</v>
      </c>
      <c r="H53" s="30">
        <v>4.6600000000000001E-5</v>
      </c>
    </row>
    <row r="54" spans="1:19" ht="15.5" x14ac:dyDescent="0.35">
      <c r="A54" s="37"/>
      <c r="B54" s="37"/>
      <c r="C54" s="7"/>
      <c r="D54" s="16">
        <v>3.1232074129362485E-2</v>
      </c>
      <c r="G54" s="19" t="s">
        <v>103</v>
      </c>
      <c r="H54">
        <v>0.72564899999999999</v>
      </c>
    </row>
    <row r="55" spans="1:19" ht="15.5" x14ac:dyDescent="0.35">
      <c r="A55" s="37"/>
      <c r="B55" s="37"/>
      <c r="C55" s="7"/>
      <c r="D55" s="36"/>
      <c r="G55" s="19" t="s">
        <v>216</v>
      </c>
      <c r="H55">
        <v>7.2357000000000005E-2</v>
      </c>
    </row>
    <row r="56" spans="1:19" ht="15.5" x14ac:dyDescent="0.35">
      <c r="A56" s="37"/>
      <c r="B56" s="37"/>
      <c r="C56" s="7"/>
      <c r="D56" s="36"/>
      <c r="G56" s="19" t="s">
        <v>114</v>
      </c>
      <c r="H56">
        <v>-5.4324999999999998E-2</v>
      </c>
    </row>
    <row r="57" spans="1:19" ht="15.5" x14ac:dyDescent="0.35">
      <c r="A57" s="37"/>
      <c r="B57" s="37"/>
      <c r="C57" s="7"/>
      <c r="D57" s="36"/>
      <c r="E57" s="58"/>
      <c r="G57" s="19" t="s">
        <v>106</v>
      </c>
      <c r="H57">
        <v>-0.35873100000000002</v>
      </c>
    </row>
    <row r="58" spans="1:19" ht="15.5" x14ac:dyDescent="0.35">
      <c r="A58" s="37"/>
      <c r="B58" s="37"/>
      <c r="C58" s="7"/>
      <c r="D58" s="36"/>
      <c r="E58" s="58"/>
      <c r="G58" s="19" t="s">
        <v>107</v>
      </c>
      <c r="H58">
        <v>0.26941999999999999</v>
      </c>
    </row>
    <row r="59" spans="1:19" x14ac:dyDescent="0.35">
      <c r="E59" s="58"/>
    </row>
    <row r="60" spans="1:19" ht="15.5" x14ac:dyDescent="0.35">
      <c r="E60" s="58"/>
      <c r="G60" s="19" t="s">
        <v>326</v>
      </c>
      <c r="H60">
        <v>5507.4040000000005</v>
      </c>
    </row>
    <row r="61" spans="1:19" x14ac:dyDescent="0.35">
      <c r="E61" s="58"/>
    </row>
    <row r="62" spans="1:19" x14ac:dyDescent="0.35">
      <c r="E62" s="58"/>
    </row>
    <row r="63" spans="1:19" x14ac:dyDescent="0.35">
      <c r="E63" s="58"/>
    </row>
    <row r="64" spans="1:19" x14ac:dyDescent="0.35">
      <c r="E64" s="58"/>
    </row>
    <row r="65" spans="5:5" x14ac:dyDescent="0.35">
      <c r="E65" s="58"/>
    </row>
    <row r="66" spans="5:5" x14ac:dyDescent="0.35">
      <c r="E66" s="58"/>
    </row>
    <row r="67" spans="5:5" x14ac:dyDescent="0.35">
      <c r="E67" s="58"/>
    </row>
    <row r="68" spans="5:5" x14ac:dyDescent="0.35">
      <c r="E68" s="58"/>
    </row>
    <row r="69" spans="5:5" x14ac:dyDescent="0.35">
      <c r="E69" s="58"/>
    </row>
    <row r="70" spans="5:5" x14ac:dyDescent="0.35">
      <c r="E70" s="58"/>
    </row>
    <row r="71" spans="5:5" x14ac:dyDescent="0.35">
      <c r="E71" s="58"/>
    </row>
    <row r="72" spans="5:5" x14ac:dyDescent="0.35">
      <c r="E72" s="58"/>
    </row>
    <row r="73" spans="5:5" x14ac:dyDescent="0.35">
      <c r="E73" s="58"/>
    </row>
    <row r="74" spans="5:5" x14ac:dyDescent="0.35">
      <c r="E74" s="58"/>
    </row>
    <row r="75" spans="5:5" x14ac:dyDescent="0.35">
      <c r="E75" s="58"/>
    </row>
    <row r="76" spans="5:5" x14ac:dyDescent="0.35">
      <c r="E76" s="58"/>
    </row>
    <row r="77" spans="5:5" x14ac:dyDescent="0.35">
      <c r="E77" s="58"/>
    </row>
    <row r="78" spans="5:5" x14ac:dyDescent="0.35">
      <c r="E78" s="58"/>
    </row>
    <row r="79" spans="5:5" x14ac:dyDescent="0.35">
      <c r="E79" s="58"/>
    </row>
    <row r="80" spans="5:5" x14ac:dyDescent="0.35">
      <c r="E80" s="58"/>
    </row>
    <row r="81" spans="5:5" x14ac:dyDescent="0.35">
      <c r="E81" s="58"/>
    </row>
    <row r="82" spans="5:5" x14ac:dyDescent="0.35">
      <c r="E82" s="58"/>
    </row>
    <row r="83" spans="5:5" x14ac:dyDescent="0.35">
      <c r="E83" s="58"/>
    </row>
    <row r="84" spans="5:5" x14ac:dyDescent="0.35">
      <c r="E84" s="58"/>
    </row>
    <row r="85" spans="5:5" x14ac:dyDescent="0.35">
      <c r="E85" s="58"/>
    </row>
    <row r="86" spans="5:5" x14ac:dyDescent="0.35">
      <c r="E86" s="58"/>
    </row>
    <row r="87" spans="5:5" x14ac:dyDescent="0.35">
      <c r="E87" s="58"/>
    </row>
    <row r="88" spans="5:5" x14ac:dyDescent="0.35">
      <c r="E88" s="58"/>
    </row>
    <row r="89" spans="5:5" x14ac:dyDescent="0.35">
      <c r="E89" s="58"/>
    </row>
    <row r="90" spans="5:5" x14ac:dyDescent="0.35">
      <c r="E90" s="58"/>
    </row>
    <row r="91" spans="5:5" x14ac:dyDescent="0.35">
      <c r="E91" s="58"/>
    </row>
    <row r="92" spans="5:5" x14ac:dyDescent="0.35">
      <c r="E92" s="58"/>
    </row>
    <row r="93" spans="5:5" x14ac:dyDescent="0.35">
      <c r="E93" s="58"/>
    </row>
    <row r="94" spans="5:5" x14ac:dyDescent="0.35">
      <c r="E94" s="58"/>
    </row>
    <row r="95" spans="5:5" x14ac:dyDescent="0.35">
      <c r="E95" s="58"/>
    </row>
    <row r="96" spans="5:5" x14ac:dyDescent="0.35">
      <c r="E96" s="58"/>
    </row>
    <row r="97" spans="5:5" x14ac:dyDescent="0.35">
      <c r="E97" s="58"/>
    </row>
    <row r="98" spans="5:5" x14ac:dyDescent="0.35">
      <c r="E98" s="58"/>
    </row>
    <row r="99" spans="5:5" x14ac:dyDescent="0.35">
      <c r="E99" s="58"/>
    </row>
    <row r="100" spans="5:5" x14ac:dyDescent="0.35">
      <c r="E100" s="58"/>
    </row>
    <row r="101" spans="5:5" x14ac:dyDescent="0.35">
      <c r="E101" s="58"/>
    </row>
    <row r="102" spans="5:5" x14ac:dyDescent="0.35">
      <c r="E102" s="58"/>
    </row>
    <row r="103" spans="5:5" x14ac:dyDescent="0.35">
      <c r="E103" s="58"/>
    </row>
    <row r="104" spans="5:5" x14ac:dyDescent="0.35">
      <c r="E104" s="58"/>
    </row>
    <row r="105" spans="5:5" x14ac:dyDescent="0.35">
      <c r="E105" s="58"/>
    </row>
    <row r="106" spans="5:5" x14ac:dyDescent="0.35">
      <c r="E106" s="58"/>
    </row>
    <row r="107" spans="5:5" x14ac:dyDescent="0.35">
      <c r="E107" s="58"/>
    </row>
  </sheetData>
  <mergeCells count="2">
    <mergeCell ref="E1:F1"/>
    <mergeCell ref="I1:K1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0069-22F7-49BB-9CB9-DC4AF4B0B0B1}">
  <dimension ref="A1:C52"/>
  <sheetViews>
    <sheetView topLeftCell="A44" workbookViewId="0">
      <selection activeCell="A44" sqref="A1:XFD1048576"/>
    </sheetView>
  </sheetViews>
  <sheetFormatPr defaultRowHeight="14.5" x14ac:dyDescent="0.35"/>
  <cols>
    <col min="3" max="3" width="8.90625" bestFit="1" customWidth="1"/>
  </cols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>
        <f>'Persamaan 10'!C3</f>
        <v>7081</v>
      </c>
      <c r="C2">
        <f>'Persamaan 10'!R4</f>
        <v>-264651.88913664216</v>
      </c>
    </row>
    <row r="3" spans="1:3" x14ac:dyDescent="0.35">
      <c r="A3">
        <v>2000</v>
      </c>
      <c r="B3">
        <f>'Persamaan 10'!C4</f>
        <v>7132</v>
      </c>
      <c r="C3">
        <f>'Persamaan 10'!R5</f>
        <v>-266591.00314713223</v>
      </c>
    </row>
    <row r="4" spans="1:3" x14ac:dyDescent="0.35">
      <c r="A4">
        <v>2001</v>
      </c>
      <c r="B4">
        <f>'Persamaan 10'!C5</f>
        <v>7183</v>
      </c>
      <c r="C4">
        <f>'Persamaan 10'!R6</f>
        <v>-268529.93541762227</v>
      </c>
    </row>
    <row r="5" spans="1:3" x14ac:dyDescent="0.35">
      <c r="A5">
        <v>2001</v>
      </c>
      <c r="B5">
        <f>'Persamaan 10'!C6</f>
        <v>7184.5</v>
      </c>
      <c r="C5">
        <f>'Persamaan 10'!R7</f>
        <v>-271327.27239123429</v>
      </c>
    </row>
    <row r="6" spans="1:3" x14ac:dyDescent="0.35">
      <c r="A6">
        <v>2002</v>
      </c>
      <c r="B6">
        <f>'Persamaan 10'!C7</f>
        <v>7186</v>
      </c>
      <c r="C6">
        <f>'Persamaan 10'!R8</f>
        <v>-274124.52082484629</v>
      </c>
    </row>
    <row r="7" spans="1:3" x14ac:dyDescent="0.35">
      <c r="A7">
        <v>2002</v>
      </c>
      <c r="B7">
        <f>'Persamaan 10'!C8</f>
        <v>7238.5</v>
      </c>
      <c r="C7">
        <f>'Persamaan 10'!R9</f>
        <v>-277382.87368354021</v>
      </c>
    </row>
    <row r="8" spans="1:3" x14ac:dyDescent="0.35">
      <c r="A8">
        <v>2003</v>
      </c>
      <c r="B8">
        <f>'Persamaan 10'!C9</f>
        <v>7291</v>
      </c>
      <c r="C8">
        <f>'Persamaan 10'!R10</f>
        <v>-280641.05878223415</v>
      </c>
    </row>
    <row r="9" spans="1:3" x14ac:dyDescent="0.35">
      <c r="A9">
        <v>2003</v>
      </c>
      <c r="B9">
        <f>'Persamaan 10'!C10</f>
        <v>7294</v>
      </c>
      <c r="C9">
        <f>'Persamaan 10'!R11</f>
        <v>-294865.57003755606</v>
      </c>
    </row>
    <row r="10" spans="1:3" x14ac:dyDescent="0.35">
      <c r="A10">
        <v>2004</v>
      </c>
      <c r="B10">
        <f>'Persamaan 10'!C11</f>
        <v>7297</v>
      </c>
      <c r="C10">
        <f>'Persamaan 10'!R12</f>
        <v>-309089.8366428779</v>
      </c>
    </row>
    <row r="11" spans="1:3" x14ac:dyDescent="0.35">
      <c r="A11">
        <v>2004</v>
      </c>
      <c r="B11">
        <f>'Persamaan 10'!C12</f>
        <v>7301.5</v>
      </c>
      <c r="C11">
        <f>'Persamaan 10'!R13</f>
        <v>-311463.51371330075</v>
      </c>
    </row>
    <row r="12" spans="1:3" x14ac:dyDescent="0.35">
      <c r="A12">
        <v>2005</v>
      </c>
      <c r="B12">
        <f>'Persamaan 10'!C13</f>
        <v>7306</v>
      </c>
      <c r="C12">
        <f>'Persamaan 10'!R14</f>
        <v>-313837.02768372349</v>
      </c>
    </row>
    <row r="13" spans="1:3" x14ac:dyDescent="0.35">
      <c r="A13">
        <v>2005</v>
      </c>
      <c r="B13">
        <f>'Persamaan 10'!C14</f>
        <v>7360.5</v>
      </c>
      <c r="C13">
        <f>'Persamaan 10'!R15</f>
        <v>-318729.46561912581</v>
      </c>
    </row>
    <row r="14" spans="1:3" x14ac:dyDescent="0.35">
      <c r="A14">
        <v>2006</v>
      </c>
      <c r="B14">
        <f>'Persamaan 10'!C15</f>
        <v>7415</v>
      </c>
      <c r="C14">
        <f>'Persamaan 10'!R16</f>
        <v>-323621.58667452802</v>
      </c>
    </row>
    <row r="15" spans="1:3" x14ac:dyDescent="0.35">
      <c r="A15">
        <v>2006</v>
      </c>
      <c r="B15">
        <f>'Persamaan 10'!C16</f>
        <v>7471</v>
      </c>
      <c r="C15">
        <f>'Persamaan 10'!R17</f>
        <v>-329062.8518795112</v>
      </c>
    </row>
    <row r="16" spans="1:3" x14ac:dyDescent="0.35">
      <c r="A16">
        <v>2007</v>
      </c>
      <c r="B16">
        <f>'Persamaan 10'!C17</f>
        <v>7527</v>
      </c>
      <c r="C16">
        <f>'Persamaan 10'!R18</f>
        <v>-334504.07281449425</v>
      </c>
    </row>
    <row r="17" spans="1:3" x14ac:dyDescent="0.35">
      <c r="A17">
        <v>2007</v>
      </c>
      <c r="B17">
        <f>'Persamaan 10'!C18</f>
        <v>7533.5</v>
      </c>
      <c r="C17">
        <f>'Persamaan 10'!R19</f>
        <v>-338945.28950123198</v>
      </c>
    </row>
    <row r="18" spans="1:3" x14ac:dyDescent="0.35">
      <c r="A18">
        <v>2008</v>
      </c>
      <c r="B18">
        <f>'Persamaan 10'!C19</f>
        <v>7540</v>
      </c>
      <c r="C18">
        <f>'Persamaan 10'!R20</f>
        <v>-343386.20328796969</v>
      </c>
    </row>
    <row r="19" spans="1:3" x14ac:dyDescent="0.35">
      <c r="A19">
        <v>2008</v>
      </c>
      <c r="B19">
        <f>'Persamaan 10'!C20</f>
        <v>7597.5</v>
      </c>
      <c r="C19">
        <f>'Persamaan 10'!R21</f>
        <v>-352148.81657317042</v>
      </c>
    </row>
    <row r="20" spans="1:3" x14ac:dyDescent="0.35">
      <c r="A20">
        <v>2009</v>
      </c>
      <c r="B20">
        <f>'Persamaan 10'!C21</f>
        <v>7655</v>
      </c>
      <c r="C20">
        <f>'Persamaan 10'!R22</f>
        <v>-360911.22714837111</v>
      </c>
    </row>
    <row r="21" spans="1:3" x14ac:dyDescent="0.35">
      <c r="A21">
        <v>2009</v>
      </c>
      <c r="B21">
        <f>'Persamaan 10'!C22</f>
        <v>7913</v>
      </c>
      <c r="C21">
        <f>'Persamaan 10'!R23</f>
        <v>-366407.01385394722</v>
      </c>
    </row>
    <row r="22" spans="1:3" x14ac:dyDescent="0.35">
      <c r="A22">
        <v>2010</v>
      </c>
      <c r="B22">
        <f>'Persamaan 10'!C23</f>
        <v>8171</v>
      </c>
      <c r="C22">
        <f>'Persamaan 10'!R24</f>
        <v>-371902.67473952344</v>
      </c>
    </row>
    <row r="23" spans="1:3" x14ac:dyDescent="0.35">
      <c r="A23">
        <v>2010</v>
      </c>
      <c r="B23">
        <f>'Persamaan 10'!C24</f>
        <v>8230.5</v>
      </c>
      <c r="C23">
        <f>'Persamaan 10'!R25</f>
        <v>-374360.94484255998</v>
      </c>
    </row>
    <row r="24" spans="1:3" x14ac:dyDescent="0.35">
      <c r="A24">
        <v>2011</v>
      </c>
      <c r="B24">
        <f>'Persamaan 10'!C25</f>
        <v>8290</v>
      </c>
      <c r="C24">
        <f>'Persamaan 10'!R26</f>
        <v>-376818.99825559655</v>
      </c>
    </row>
    <row r="25" spans="1:3" x14ac:dyDescent="0.35">
      <c r="A25">
        <v>2011</v>
      </c>
      <c r="B25">
        <f>'Persamaan 10'!C26</f>
        <v>8566.5</v>
      </c>
      <c r="C25">
        <f>'Persamaan 10'!R27</f>
        <v>-779977.18930464587</v>
      </c>
    </row>
    <row r="26" spans="1:3" x14ac:dyDescent="0.35">
      <c r="A26">
        <v>2012</v>
      </c>
      <c r="B26">
        <f>'Persamaan 10'!C27</f>
        <v>8843</v>
      </c>
      <c r="C26">
        <f>'Persamaan 10'!R28</f>
        <v>-1183133.9776936951</v>
      </c>
    </row>
    <row r="27" spans="1:3" x14ac:dyDescent="0.35">
      <c r="A27">
        <v>2012</v>
      </c>
      <c r="B27">
        <f>'Persamaan 10'!C28</f>
        <v>9117</v>
      </c>
      <c r="C27">
        <f>'Persamaan 10'!R29</f>
        <v>-1175298.7515478302</v>
      </c>
    </row>
    <row r="28" spans="1:3" x14ac:dyDescent="0.35">
      <c r="A28">
        <v>2013</v>
      </c>
      <c r="B28">
        <f>'Persamaan 10'!C29</f>
        <v>9391</v>
      </c>
      <c r="C28">
        <f>'Persamaan 10'!R30</f>
        <v>-1167440.0483219654</v>
      </c>
    </row>
    <row r="29" spans="1:3" x14ac:dyDescent="0.35">
      <c r="A29">
        <v>2013</v>
      </c>
      <c r="B29">
        <f>'Persamaan 10'!C30</f>
        <v>9749.5</v>
      </c>
      <c r="C29">
        <f>'Persamaan 10'!R31</f>
        <v>-973259.80102802522</v>
      </c>
    </row>
    <row r="30" spans="1:3" x14ac:dyDescent="0.35">
      <c r="A30">
        <v>2014</v>
      </c>
      <c r="B30">
        <f>'Persamaan 10'!C31</f>
        <v>10108</v>
      </c>
      <c r="C30">
        <f>'Persamaan 10'!R32</f>
        <v>-779074.29026408505</v>
      </c>
    </row>
    <row r="31" spans="1:3" x14ac:dyDescent="0.35">
      <c r="A31">
        <v>2014</v>
      </c>
      <c r="B31">
        <f>'Persamaan 10'!C32</f>
        <v>10751.5</v>
      </c>
      <c r="C31">
        <f>'Persamaan 10'!R33</f>
        <v>-716625.42867017572</v>
      </c>
    </row>
    <row r="32" spans="1:3" x14ac:dyDescent="0.35">
      <c r="A32">
        <v>2015</v>
      </c>
      <c r="B32">
        <f>'Persamaan 10'!C33</f>
        <v>11395</v>
      </c>
      <c r="C32">
        <f>'Persamaan 10'!R34</f>
        <v>-654141.83842626656</v>
      </c>
    </row>
    <row r="33" spans="1:3" x14ac:dyDescent="0.35">
      <c r="A33">
        <v>2015</v>
      </c>
      <c r="B33">
        <f>'Persamaan 10'!C34</f>
        <v>11728</v>
      </c>
      <c r="C33">
        <f>'Persamaan 10'!R35</f>
        <v>-831079.01397803798</v>
      </c>
    </row>
    <row r="34" spans="1:3" x14ac:dyDescent="0.35">
      <c r="A34">
        <v>2016</v>
      </c>
      <c r="B34">
        <f>'Persamaan 10'!C35</f>
        <v>12061</v>
      </c>
      <c r="C34">
        <f>'Persamaan 10'!R36</f>
        <v>-1008011.1707098094</v>
      </c>
    </row>
    <row r="35" spans="1:3" x14ac:dyDescent="0.35">
      <c r="A35">
        <v>2016</v>
      </c>
      <c r="B35">
        <f>'Persamaan 10'!C36</f>
        <v>12123</v>
      </c>
      <c r="C35">
        <f>'Persamaan 10'!R37</f>
        <v>-1093971.8782336472</v>
      </c>
    </row>
    <row r="36" spans="1:3" x14ac:dyDescent="0.35">
      <c r="A36">
        <v>2017</v>
      </c>
      <c r="B36">
        <f>'Persamaan 10'!C37</f>
        <v>12185</v>
      </c>
      <c r="C36">
        <f>'Persamaan 10'!R38</f>
        <v>-1179932.3247974853</v>
      </c>
    </row>
    <row r="37" spans="1:3" x14ac:dyDescent="0.35">
      <c r="A37">
        <v>2017</v>
      </c>
      <c r="B37">
        <f>'Persamaan 10'!C38</f>
        <v>12494.5</v>
      </c>
      <c r="C37">
        <f>'Persamaan 10'!R39</f>
        <v>-835416.9910523427</v>
      </c>
    </row>
    <row r="38" spans="1:3" x14ac:dyDescent="0.35">
      <c r="A38">
        <v>2018</v>
      </c>
      <c r="B38">
        <f>'Persamaan 10'!C39</f>
        <v>12804</v>
      </c>
      <c r="C38">
        <f>'Persamaan 10'!R40</f>
        <v>-490899.48341720045</v>
      </c>
    </row>
    <row r="39" spans="1:3" x14ac:dyDescent="0.35">
      <c r="A39">
        <v>2018</v>
      </c>
      <c r="B39">
        <f>'Persamaan 10'!C40</f>
        <v>12847.5</v>
      </c>
      <c r="C39">
        <f>'Persamaan 10'!R41</f>
        <v>-436607.14696591726</v>
      </c>
    </row>
    <row r="40" spans="1:3" x14ac:dyDescent="0.35">
      <c r="A40">
        <v>2019</v>
      </c>
      <c r="B40">
        <f>'Persamaan 10'!C41</f>
        <v>12891</v>
      </c>
      <c r="C40">
        <f>'Persamaan 10'!R42</f>
        <v>-382316.16191463411</v>
      </c>
    </row>
    <row r="41" spans="1:3" x14ac:dyDescent="0.35">
      <c r="A41">
        <v>2019</v>
      </c>
      <c r="B41">
        <f>'Persamaan 10'!C42</f>
        <v>13013.5</v>
      </c>
      <c r="C41">
        <f>'Persamaan 10'!R43</f>
        <v>-405062.89062480628</v>
      </c>
    </row>
    <row r="42" spans="1:3" x14ac:dyDescent="0.35">
      <c r="A42">
        <v>2020</v>
      </c>
      <c r="B42">
        <f>'Persamaan 10'!C43</f>
        <v>13136</v>
      </c>
      <c r="C42">
        <f>'Persamaan 10'!R44</f>
        <v>-427807.71805497853</v>
      </c>
    </row>
    <row r="43" spans="1:3" x14ac:dyDescent="0.35">
      <c r="A43">
        <v>2020</v>
      </c>
      <c r="B43">
        <f>'Persamaan 10'!C44</f>
        <v>13074.75</v>
      </c>
      <c r="C43">
        <f>'Persamaan 10'!R45</f>
        <v>-418623.28854489245</v>
      </c>
    </row>
    <row r="44" spans="1:3" x14ac:dyDescent="0.35">
      <c r="A44">
        <v>2021</v>
      </c>
      <c r="B44">
        <f>'Persamaan 10'!C45</f>
        <v>12928.1759581882</v>
      </c>
      <c r="C44">
        <f>'Persamaan 10'!R46</f>
        <v>-830498.2719233688</v>
      </c>
    </row>
    <row r="45" spans="1:3" x14ac:dyDescent="0.35">
      <c r="A45">
        <v>2021</v>
      </c>
      <c r="B45">
        <f>'Persamaan 10'!C46</f>
        <v>13099.277996110501</v>
      </c>
      <c r="C45">
        <f>'Persamaan 10'!R47</f>
        <v>-844505.81841118424</v>
      </c>
    </row>
    <row r="46" spans="1:3" x14ac:dyDescent="0.35">
      <c r="A46">
        <v>2022</v>
      </c>
      <c r="B46">
        <f>'Persamaan 10'!C47</f>
        <v>13270.3800340329</v>
      </c>
      <c r="C46">
        <f>'Persamaan 10'!R48</f>
        <v>-858478.75404758274</v>
      </c>
    </row>
    <row r="47" spans="1:3" x14ac:dyDescent="0.35">
      <c r="A47">
        <v>2022</v>
      </c>
      <c r="B47">
        <f>'Persamaan 10'!C48</f>
        <v>13441.482071955301</v>
      </c>
      <c r="C47">
        <f>'Persamaan 10'!R49</f>
        <v>-872421.85783745628</v>
      </c>
    </row>
    <row r="48" spans="1:3" x14ac:dyDescent="0.35">
      <c r="A48">
        <v>2023</v>
      </c>
      <c r="B48">
        <f>'Persamaan 10'!C49</f>
        <v>13612.5841098776</v>
      </c>
    </row>
    <row r="49" spans="1:2" x14ac:dyDescent="0.35">
      <c r="A49">
        <v>2024</v>
      </c>
      <c r="B49">
        <f>'Persamaan 10'!C50</f>
        <v>13783.686147799999</v>
      </c>
    </row>
    <row r="50" spans="1:2" x14ac:dyDescent="0.35">
      <c r="A50">
        <v>2025</v>
      </c>
      <c r="B50">
        <f>'Persamaan 10'!C51</f>
        <v>13954.7881857224</v>
      </c>
    </row>
    <row r="51" spans="1:2" x14ac:dyDescent="0.35">
      <c r="A51">
        <v>2026</v>
      </c>
      <c r="B51">
        <f>'Persamaan 10'!C52</f>
        <v>14125.890223644799</v>
      </c>
    </row>
    <row r="52" spans="1:2" x14ac:dyDescent="0.35">
      <c r="A52">
        <v>2027</v>
      </c>
      <c r="B52">
        <f>'Persamaan 10'!C53</f>
        <v>14296.9922615671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0E6E-E2F3-4819-A140-C02863A22E37}">
  <dimension ref="A1:M20"/>
  <sheetViews>
    <sheetView topLeftCell="A18" workbookViewId="0">
      <selection activeCell="A11" sqref="A11:F20"/>
    </sheetView>
  </sheetViews>
  <sheetFormatPr defaultRowHeight="14.5" x14ac:dyDescent="0.35"/>
  <cols>
    <col min="1" max="1" width="13.81640625" bestFit="1" customWidth="1"/>
    <col min="2" max="2" width="13.26953125" customWidth="1"/>
    <col min="6" max="6" width="11" customWidth="1"/>
    <col min="8" max="8" width="12.90625" bestFit="1" customWidth="1"/>
    <col min="11" max="12" width="11.81640625" bestFit="1" customWidth="1"/>
  </cols>
  <sheetData>
    <row r="1" spans="1:13" ht="31.5" thickBot="1" x14ac:dyDescent="0.4">
      <c r="A1" s="70" t="s">
        <v>441</v>
      </c>
      <c r="B1" s="71" t="s">
        <v>442</v>
      </c>
    </row>
    <row r="2" spans="1:13" ht="16" thickBot="1" x14ac:dyDescent="0.4">
      <c r="A2" t="s">
        <v>104</v>
      </c>
      <c r="B2" s="27">
        <v>4.6600000000000001E-5</v>
      </c>
      <c r="G2" s="78" t="s">
        <v>96</v>
      </c>
      <c r="H2" t="s">
        <v>104</v>
      </c>
      <c r="I2" t="s">
        <v>103</v>
      </c>
      <c r="J2" t="s">
        <v>216</v>
      </c>
      <c r="K2" t="s">
        <v>114</v>
      </c>
      <c r="L2" t="s">
        <v>106</v>
      </c>
      <c r="M2" s="74" t="s">
        <v>107</v>
      </c>
    </row>
    <row r="3" spans="1:13" ht="14.5" customHeight="1" x14ac:dyDescent="0.35">
      <c r="A3" t="s">
        <v>103</v>
      </c>
      <c r="B3" s="27">
        <v>0.72564899999999999</v>
      </c>
      <c r="F3" t="s">
        <v>459</v>
      </c>
      <c r="G3" s="11">
        <f>AVERAGE('Persamaan 10'!C3:C48)</f>
        <v>9591.6862187018887</v>
      </c>
      <c r="H3" s="11">
        <f>AVERAGE('Persamaan 10'!G3:G48)</f>
        <v>53012683.25625632</v>
      </c>
      <c r="I3" s="11">
        <f>AVERAGE('Persamaan 10'!H3:H48)</f>
        <v>313.21794391324312</v>
      </c>
      <c r="J3" s="11">
        <f>AVERAGE('Persamaan 10'!K3:K48)</f>
        <v>2075.9195838013866</v>
      </c>
      <c r="K3" s="11">
        <f>AVERAGE('Persamaan 10'!L3:L48)</f>
        <v>4676.5024167409447</v>
      </c>
      <c r="L3" s="11">
        <f>AVERAGE('Persamaan 10'!M3:M48)</f>
        <v>1584616.3972091675</v>
      </c>
      <c r="M3" s="11">
        <f>AVERAGE('Persamaan 10'!N3:N48)</f>
        <v>8730.7086420427258</v>
      </c>
    </row>
    <row r="4" spans="1:13" ht="29" x14ac:dyDescent="0.35">
      <c r="A4" t="s">
        <v>216</v>
      </c>
      <c r="B4" s="27">
        <v>7.2357000000000005E-2</v>
      </c>
      <c r="F4" s="80" t="s">
        <v>460</v>
      </c>
      <c r="H4">
        <f>H3/$G$3</f>
        <v>5526.9409410925145</v>
      </c>
      <c r="I4">
        <f t="shared" ref="I4:M4" si="0">I3/$G$3</f>
        <v>3.2655149133478757E-2</v>
      </c>
      <c r="J4">
        <f t="shared" si="0"/>
        <v>0.21642905496155143</v>
      </c>
      <c r="K4">
        <f t="shared" si="0"/>
        <v>0.48755790276194516</v>
      </c>
      <c r="L4">
        <f t="shared" si="0"/>
        <v>165.20728066765562</v>
      </c>
      <c r="M4">
        <f t="shared" si="0"/>
        <v>0.9102370993975567</v>
      </c>
    </row>
    <row r="5" spans="1:13" x14ac:dyDescent="0.35">
      <c r="A5" t="s">
        <v>114</v>
      </c>
      <c r="B5" s="27">
        <v>-5.4324999999999998E-2</v>
      </c>
      <c r="F5" t="s">
        <v>461</v>
      </c>
      <c r="H5" s="27">
        <v>4.6600000000000001E-5</v>
      </c>
      <c r="I5" s="27">
        <v>0.72564899999999999</v>
      </c>
      <c r="J5" s="27">
        <v>7.2357000000000005E-2</v>
      </c>
      <c r="K5" s="27">
        <v>-5.4324999999999998E-2</v>
      </c>
      <c r="L5" s="27">
        <v>-0.35873100000000002</v>
      </c>
      <c r="M5" s="27">
        <v>0.26941999999999999</v>
      </c>
    </row>
    <row r="6" spans="1:13" x14ac:dyDescent="0.35">
      <c r="A6" t="s">
        <v>106</v>
      </c>
      <c r="B6" s="27">
        <v>-0.35873100000000002</v>
      </c>
      <c r="F6" t="s">
        <v>462</v>
      </c>
      <c r="H6">
        <f>H5*H4</f>
        <v>0.25755544785491119</v>
      </c>
      <c r="I6">
        <f t="shared" ref="I6:L6" si="1">I5*I4</f>
        <v>2.3696176313559726E-2</v>
      </c>
      <c r="J6">
        <f t="shared" si="1"/>
        <v>1.5660157129852977E-2</v>
      </c>
      <c r="K6">
        <f t="shared" si="1"/>
        <v>-2.648658306754267E-2</v>
      </c>
      <c r="L6">
        <f t="shared" si="1"/>
        <v>-59.264973001188771</v>
      </c>
    </row>
    <row r="7" spans="1:13" ht="14.5" customHeight="1" thickBot="1" x14ac:dyDescent="0.4">
      <c r="A7" s="74" t="s">
        <v>107</v>
      </c>
      <c r="B7" s="27">
        <v>0.26941999999999999</v>
      </c>
      <c r="F7" t="s">
        <v>463</v>
      </c>
      <c r="H7">
        <f>H6/(1-$M$5)</f>
        <v>0.35253558522668454</v>
      </c>
      <c r="I7">
        <f t="shared" ref="I7:L7" si="2">I6/(1-$M$5)</f>
        <v>3.243474542631844E-2</v>
      </c>
      <c r="J7">
        <f t="shared" si="2"/>
        <v>2.1435239302818276E-2</v>
      </c>
      <c r="K7">
        <f t="shared" si="2"/>
        <v>-3.6254185807909699E-2</v>
      </c>
      <c r="L7">
        <f t="shared" si="2"/>
        <v>-81.120442663621745</v>
      </c>
    </row>
    <row r="8" spans="1:13" ht="14.5" customHeight="1" x14ac:dyDescent="0.35">
      <c r="A8" t="s">
        <v>326</v>
      </c>
      <c r="B8">
        <v>5507.4040000000005</v>
      </c>
    </row>
    <row r="11" spans="1:13" ht="15.5" x14ac:dyDescent="0.35">
      <c r="A11" s="128" t="s">
        <v>441</v>
      </c>
      <c r="B11" s="128" t="s">
        <v>442</v>
      </c>
      <c r="C11" s="128" t="s">
        <v>443</v>
      </c>
      <c r="D11" s="121" t="s">
        <v>625</v>
      </c>
      <c r="E11" s="121"/>
      <c r="F11" s="128" t="s">
        <v>444</v>
      </c>
      <c r="G11" s="87"/>
    </row>
    <row r="12" spans="1:13" ht="15.5" x14ac:dyDescent="0.35">
      <c r="A12" s="129"/>
      <c r="B12" s="129"/>
      <c r="C12" s="129"/>
      <c r="D12" s="96" t="s">
        <v>626</v>
      </c>
      <c r="E12" s="96" t="s">
        <v>627</v>
      </c>
      <c r="F12" s="129"/>
      <c r="G12" s="87"/>
    </row>
    <row r="13" spans="1:13" ht="124" x14ac:dyDescent="0.35">
      <c r="A13" s="88" t="s">
        <v>171</v>
      </c>
      <c r="B13" s="88" t="s">
        <v>590</v>
      </c>
      <c r="C13" s="88" t="s">
        <v>475</v>
      </c>
      <c r="D13" s="72">
        <v>0.25755544785491119</v>
      </c>
      <c r="E13" s="72">
        <v>0.35253558522668454</v>
      </c>
      <c r="F13" s="88" t="s">
        <v>580</v>
      </c>
      <c r="G13" s="87"/>
    </row>
    <row r="14" spans="1:13" ht="93" x14ac:dyDescent="0.35">
      <c r="A14" s="88" t="s">
        <v>103</v>
      </c>
      <c r="B14" s="88" t="s">
        <v>591</v>
      </c>
      <c r="C14" s="88" t="s">
        <v>592</v>
      </c>
      <c r="D14" s="72">
        <v>2.3696176313559726E-2</v>
      </c>
      <c r="E14" s="72">
        <v>3.243474542631844E-2</v>
      </c>
      <c r="F14" s="88" t="s">
        <v>584</v>
      </c>
      <c r="G14" s="87"/>
    </row>
    <row r="15" spans="1:13" ht="77.5" x14ac:dyDescent="0.35">
      <c r="A15" s="88" t="s">
        <v>216</v>
      </c>
      <c r="B15" s="88" t="s">
        <v>593</v>
      </c>
      <c r="C15" s="88" t="s">
        <v>594</v>
      </c>
      <c r="D15" s="72">
        <v>1.5660157129852977E-2</v>
      </c>
      <c r="E15" s="72">
        <v>2.1435239302818276E-2</v>
      </c>
      <c r="F15" s="88" t="s">
        <v>11</v>
      </c>
      <c r="G15" s="87"/>
    </row>
    <row r="16" spans="1:13" ht="46.5" x14ac:dyDescent="0.35">
      <c r="A16" s="88" t="s">
        <v>114</v>
      </c>
      <c r="B16" s="88" t="s">
        <v>595</v>
      </c>
      <c r="C16" s="88" t="s">
        <v>596</v>
      </c>
      <c r="D16" s="72">
        <v>-2.648658306754267E-2</v>
      </c>
      <c r="E16" s="72">
        <v>-3.6254185807909699E-2</v>
      </c>
      <c r="F16" s="88" t="s">
        <v>597</v>
      </c>
      <c r="G16" s="87"/>
    </row>
    <row r="17" spans="1:7" ht="124" x14ac:dyDescent="0.35">
      <c r="A17" s="88" t="s">
        <v>106</v>
      </c>
      <c r="B17" s="88" t="s">
        <v>598</v>
      </c>
      <c r="C17" s="88" t="s">
        <v>599</v>
      </c>
      <c r="D17" s="72">
        <v>-59.264973001188771</v>
      </c>
      <c r="E17" s="72">
        <v>-81.120442663621745</v>
      </c>
      <c r="F17" s="88" t="s">
        <v>600</v>
      </c>
      <c r="G17" s="87"/>
    </row>
    <row r="18" spans="1:7" ht="77.5" x14ac:dyDescent="0.35">
      <c r="A18" s="88" t="s">
        <v>601</v>
      </c>
      <c r="B18" s="88" t="s">
        <v>602</v>
      </c>
      <c r="C18" s="88" t="s">
        <v>603</v>
      </c>
      <c r="D18" s="89"/>
      <c r="E18" s="89"/>
      <c r="F18" s="88" t="s">
        <v>604</v>
      </c>
      <c r="G18" s="87"/>
    </row>
    <row r="19" spans="1:7" ht="15.5" x14ac:dyDescent="0.35">
      <c r="A19" s="88" t="s">
        <v>456</v>
      </c>
      <c r="B19" s="93">
        <v>5746316</v>
      </c>
      <c r="C19" s="88" t="s">
        <v>605</v>
      </c>
      <c r="D19" s="88"/>
      <c r="E19" s="88"/>
      <c r="F19" s="88"/>
      <c r="G19" s="87"/>
    </row>
    <row r="20" spans="1:7" ht="31" customHeight="1" x14ac:dyDescent="0.35">
      <c r="A20" s="120" t="s">
        <v>606</v>
      </c>
      <c r="B20" s="120"/>
      <c r="C20" s="120"/>
      <c r="D20" s="120"/>
      <c r="E20" s="120"/>
      <c r="F20" s="120"/>
      <c r="G20" s="87"/>
    </row>
  </sheetData>
  <mergeCells count="6">
    <mergeCell ref="A20:F20"/>
    <mergeCell ref="D11:E11"/>
    <mergeCell ref="A11:A12"/>
    <mergeCell ref="B11:B12"/>
    <mergeCell ref="C11:C12"/>
    <mergeCell ref="F11:F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08"/>
  <sheetViews>
    <sheetView topLeftCell="A50" workbookViewId="0">
      <selection activeCell="H59" sqref="H59"/>
    </sheetView>
  </sheetViews>
  <sheetFormatPr defaultRowHeight="14.5" x14ac:dyDescent="0.35"/>
  <cols>
    <col min="3" max="3" width="12.1796875" bestFit="1" customWidth="1"/>
    <col min="4" max="4" width="12.1796875" customWidth="1"/>
    <col min="5" max="5" width="12.1796875" bestFit="1" customWidth="1"/>
    <col min="6" max="6" width="12.1796875" customWidth="1"/>
    <col min="7" max="7" width="13.1796875" customWidth="1"/>
    <col min="8" max="8" width="12.7265625" bestFit="1" customWidth="1"/>
    <col min="9" max="9" width="11.1796875" bestFit="1" customWidth="1"/>
    <col min="14" max="14" width="10.7265625" customWidth="1"/>
  </cols>
  <sheetData>
    <row r="1" spans="1:16" ht="15.5" x14ac:dyDescent="0.35">
      <c r="C1" s="19" t="s">
        <v>108</v>
      </c>
      <c r="D1" s="19"/>
      <c r="E1" s="130" t="s">
        <v>104</v>
      </c>
      <c r="F1" s="130"/>
      <c r="G1" s="8" t="s">
        <v>104</v>
      </c>
      <c r="H1" s="19" t="s">
        <v>103</v>
      </c>
      <c r="I1" s="19" t="s">
        <v>67</v>
      </c>
      <c r="J1" s="19" t="s">
        <v>109</v>
      </c>
      <c r="K1" s="19" t="s">
        <v>110</v>
      </c>
    </row>
    <row r="2" spans="1:16" x14ac:dyDescent="0.35">
      <c r="E2" t="s">
        <v>140</v>
      </c>
      <c r="F2" t="s">
        <v>117</v>
      </c>
      <c r="K2" s="7"/>
      <c r="N2" t="s">
        <v>334</v>
      </c>
      <c r="O2" t="s">
        <v>327</v>
      </c>
    </row>
    <row r="3" spans="1:16" x14ac:dyDescent="0.35">
      <c r="A3">
        <v>2000</v>
      </c>
      <c r="B3">
        <v>1</v>
      </c>
      <c r="C3" s="7">
        <v>6394</v>
      </c>
      <c r="D3" s="7"/>
      <c r="E3" s="11">
        <v>1500</v>
      </c>
      <c r="F3" s="11">
        <v>8719</v>
      </c>
      <c r="G3" s="11">
        <v>13078500</v>
      </c>
      <c r="H3" s="6">
        <v>363.5</v>
      </c>
      <c r="I3" s="7">
        <v>1890</v>
      </c>
      <c r="J3" s="7">
        <v>2000</v>
      </c>
      <c r="K3" s="7">
        <v>4394</v>
      </c>
      <c r="L3" s="7"/>
      <c r="N3" s="7">
        <v>6394</v>
      </c>
      <c r="O3" s="30">
        <v>5123.6209440000002</v>
      </c>
      <c r="P3" s="30">
        <v>1270.3790559999998</v>
      </c>
    </row>
    <row r="4" spans="1:16" x14ac:dyDescent="0.35">
      <c r="B4">
        <v>2</v>
      </c>
      <c r="C4" s="7">
        <v>6442.5</v>
      </c>
      <c r="D4" s="36">
        <v>7.5852361588989682E-3</v>
      </c>
      <c r="E4" s="11">
        <v>1600</v>
      </c>
      <c r="F4" s="11">
        <v>8738.5</v>
      </c>
      <c r="G4" s="11">
        <v>13981600</v>
      </c>
      <c r="H4" s="6">
        <v>365.25</v>
      </c>
      <c r="I4" s="7">
        <v>1984.5</v>
      </c>
      <c r="J4" s="7">
        <v>2000</v>
      </c>
      <c r="K4" s="7">
        <v>4442.5</v>
      </c>
      <c r="N4" s="7">
        <v>6442.5</v>
      </c>
      <c r="O4" s="30">
        <v>5161.1324855000003</v>
      </c>
      <c r="P4" s="30">
        <v>1281.3675144999997</v>
      </c>
    </row>
    <row r="5" spans="1:16" x14ac:dyDescent="0.35">
      <c r="A5">
        <v>2001</v>
      </c>
      <c r="B5">
        <v>1</v>
      </c>
      <c r="C5" s="7">
        <v>6491</v>
      </c>
      <c r="D5" s="36">
        <v>7.5281334885525806E-3</v>
      </c>
      <c r="E5" s="11">
        <v>1700</v>
      </c>
      <c r="F5" s="11">
        <v>8758</v>
      </c>
      <c r="G5" s="11">
        <v>14888600</v>
      </c>
      <c r="H5" s="6">
        <v>367</v>
      </c>
      <c r="I5" s="7">
        <v>2079</v>
      </c>
      <c r="J5" s="7">
        <v>2001</v>
      </c>
      <c r="K5" s="7">
        <v>4490</v>
      </c>
      <c r="N5" s="7">
        <v>6491</v>
      </c>
      <c r="O5" s="30">
        <v>5198.1139640000001</v>
      </c>
      <c r="P5" s="30">
        <v>1292.8860359999999</v>
      </c>
    </row>
    <row r="6" spans="1:16" x14ac:dyDescent="0.35">
      <c r="B6">
        <v>2</v>
      </c>
      <c r="C6" s="7">
        <v>6530.5</v>
      </c>
      <c r="D6" s="36">
        <v>6.0853489446926513E-3</v>
      </c>
      <c r="E6" s="11">
        <v>1750</v>
      </c>
      <c r="F6" s="11">
        <v>8777</v>
      </c>
      <c r="G6" s="11">
        <v>15359750</v>
      </c>
      <c r="H6" s="6">
        <v>348.5</v>
      </c>
      <c r="I6" s="7">
        <v>2146.5</v>
      </c>
      <c r="J6" s="7">
        <v>2001</v>
      </c>
      <c r="K6" s="7">
        <v>4529.5</v>
      </c>
      <c r="N6" s="7">
        <v>6530.5</v>
      </c>
      <c r="O6" s="30">
        <v>5243.8497155000005</v>
      </c>
      <c r="P6" s="30">
        <v>1286.6502844999995</v>
      </c>
    </row>
    <row r="7" spans="1:16" x14ac:dyDescent="0.35">
      <c r="A7">
        <v>2002</v>
      </c>
      <c r="B7">
        <v>1</v>
      </c>
      <c r="C7" s="7">
        <v>6570</v>
      </c>
      <c r="D7" s="36">
        <v>6.0485414593063318E-3</v>
      </c>
      <c r="E7" s="11">
        <v>1800</v>
      </c>
      <c r="F7" s="11">
        <v>8796</v>
      </c>
      <c r="G7" s="11">
        <v>15832800</v>
      </c>
      <c r="H7" s="6">
        <v>330</v>
      </c>
      <c r="I7" s="7">
        <v>2214</v>
      </c>
      <c r="J7" s="7">
        <v>2002</v>
      </c>
      <c r="K7" s="7">
        <v>4568</v>
      </c>
      <c r="N7" s="7">
        <v>6570</v>
      </c>
      <c r="O7" s="30">
        <v>5288.9776039999997</v>
      </c>
      <c r="P7" s="30">
        <v>1281.0223960000003</v>
      </c>
    </row>
    <row r="8" spans="1:16" x14ac:dyDescent="0.35">
      <c r="B8">
        <v>2</v>
      </c>
      <c r="C8" s="7">
        <v>6603.5</v>
      </c>
      <c r="D8" s="36">
        <v>5.0989345509893456E-3</v>
      </c>
      <c r="E8" s="11">
        <v>1900</v>
      </c>
      <c r="F8" s="11">
        <v>8814</v>
      </c>
      <c r="G8" s="11">
        <v>16746600</v>
      </c>
      <c r="H8" s="6">
        <v>340</v>
      </c>
      <c r="I8" s="7">
        <v>2366.5</v>
      </c>
      <c r="J8" s="7">
        <v>2002</v>
      </c>
      <c r="K8" s="7">
        <v>4601.5</v>
      </c>
      <c r="N8" s="7">
        <v>6603.5</v>
      </c>
      <c r="O8" s="30">
        <v>5289.7083645000002</v>
      </c>
      <c r="P8" s="30">
        <v>1313.7916354999998</v>
      </c>
    </row>
    <row r="9" spans="1:16" x14ac:dyDescent="0.35">
      <c r="A9">
        <v>2003</v>
      </c>
      <c r="B9">
        <v>1</v>
      </c>
      <c r="C9" s="7">
        <v>6637</v>
      </c>
      <c r="D9" s="36">
        <v>5.0730673127886722E-3</v>
      </c>
      <c r="E9" s="11">
        <v>2000</v>
      </c>
      <c r="F9" s="11">
        <v>8832</v>
      </c>
      <c r="G9" s="11">
        <v>17664000</v>
      </c>
      <c r="H9" s="6">
        <v>350</v>
      </c>
      <c r="I9" s="7">
        <v>2519</v>
      </c>
      <c r="J9" s="7">
        <v>2003</v>
      </c>
      <c r="K9" s="7">
        <v>4634</v>
      </c>
      <c r="N9" s="7">
        <v>6637</v>
      </c>
      <c r="O9" s="30">
        <v>5289.8973919999999</v>
      </c>
      <c r="P9" s="30">
        <v>1347.1026080000001</v>
      </c>
    </row>
    <row r="10" spans="1:16" x14ac:dyDescent="0.35">
      <c r="B10">
        <v>2</v>
      </c>
      <c r="C10" s="7">
        <v>6660</v>
      </c>
      <c r="D10" s="36">
        <v>3.4654211240018082E-3</v>
      </c>
      <c r="E10" s="11">
        <v>2150</v>
      </c>
      <c r="F10" s="11">
        <v>8849.5</v>
      </c>
      <c r="G10" s="11">
        <v>19026425</v>
      </c>
      <c r="H10" s="6">
        <v>340.5</v>
      </c>
      <c r="I10" s="7">
        <v>2630</v>
      </c>
      <c r="J10" s="7">
        <v>2003</v>
      </c>
      <c r="K10" s="7">
        <v>4657</v>
      </c>
      <c r="N10" s="7">
        <v>6660</v>
      </c>
      <c r="O10" s="30">
        <v>5335.6373894999997</v>
      </c>
      <c r="P10" s="30">
        <v>1324.3626105000003</v>
      </c>
    </row>
    <row r="11" spans="1:16" x14ac:dyDescent="0.35">
      <c r="A11">
        <v>2004</v>
      </c>
      <c r="B11">
        <v>1</v>
      </c>
      <c r="C11" s="7">
        <v>6683</v>
      </c>
      <c r="D11" s="36">
        <v>3.4534534534534536E-3</v>
      </c>
      <c r="E11" s="11">
        <v>2300</v>
      </c>
      <c r="F11" s="11">
        <v>8867</v>
      </c>
      <c r="G11" s="11">
        <v>20394100</v>
      </c>
      <c r="H11" s="6">
        <v>331</v>
      </c>
      <c r="I11" s="7">
        <v>2741</v>
      </c>
      <c r="J11" s="7">
        <v>2004</v>
      </c>
      <c r="K11" s="7">
        <v>4679</v>
      </c>
      <c r="N11" s="7">
        <v>6683</v>
      </c>
      <c r="O11" s="30">
        <v>5380.8998389999997</v>
      </c>
      <c r="P11" s="30">
        <v>1302.1001610000003</v>
      </c>
    </row>
    <row r="12" spans="1:16" x14ac:dyDescent="0.35">
      <c r="B12">
        <v>2</v>
      </c>
      <c r="C12" s="7">
        <v>6727.5</v>
      </c>
      <c r="D12" s="36">
        <v>6.6586862187640282E-3</v>
      </c>
      <c r="E12" s="11">
        <v>2400</v>
      </c>
      <c r="F12" s="11">
        <v>8884.5</v>
      </c>
      <c r="G12" s="11">
        <v>21322800</v>
      </c>
      <c r="H12" s="6">
        <v>311.5</v>
      </c>
      <c r="I12" s="7">
        <v>2770.5</v>
      </c>
      <c r="J12" s="7">
        <v>2004</v>
      </c>
      <c r="K12" s="7">
        <v>4723.5</v>
      </c>
      <c r="N12" s="7">
        <v>6727.5</v>
      </c>
      <c r="O12" s="30">
        <v>5460.5180984999997</v>
      </c>
      <c r="P12" s="30">
        <v>1266.9819015000003</v>
      </c>
    </row>
    <row r="13" spans="1:16" x14ac:dyDescent="0.35">
      <c r="A13">
        <v>2005</v>
      </c>
      <c r="B13">
        <v>1</v>
      </c>
      <c r="C13" s="7">
        <v>6772</v>
      </c>
      <c r="D13" s="36">
        <v>6.6146413972500932E-3</v>
      </c>
      <c r="E13" s="11">
        <v>2500</v>
      </c>
      <c r="F13" s="11">
        <v>8902</v>
      </c>
      <c r="G13" s="11">
        <v>22255000</v>
      </c>
      <c r="H13" s="6">
        <v>292</v>
      </c>
      <c r="I13" s="7">
        <v>2800</v>
      </c>
      <c r="J13" s="7">
        <v>2005</v>
      </c>
      <c r="K13" s="7">
        <v>4767</v>
      </c>
      <c r="N13" s="7">
        <v>6772</v>
      </c>
      <c r="O13" s="30">
        <v>5539.5907349999998</v>
      </c>
      <c r="P13" s="30">
        <v>1232.4092650000002</v>
      </c>
    </row>
    <row r="14" spans="1:16" x14ac:dyDescent="0.35">
      <c r="B14">
        <v>2</v>
      </c>
      <c r="C14" s="7">
        <v>6822.5</v>
      </c>
      <c r="D14" s="36">
        <v>7.4571766095688123E-3</v>
      </c>
      <c r="E14" s="11">
        <v>2700</v>
      </c>
      <c r="F14" s="11">
        <v>8919</v>
      </c>
      <c r="G14" s="11">
        <v>24081300</v>
      </c>
      <c r="H14" s="6">
        <v>294.5</v>
      </c>
      <c r="I14" s="7">
        <v>2830</v>
      </c>
      <c r="J14" s="7">
        <v>2005</v>
      </c>
      <c r="K14" s="7">
        <v>4817.5</v>
      </c>
      <c r="N14" s="7">
        <v>6822.5</v>
      </c>
      <c r="O14" s="30">
        <v>5633.1171214999995</v>
      </c>
      <c r="P14" s="30">
        <v>1189.3828785000005</v>
      </c>
    </row>
    <row r="15" spans="1:16" x14ac:dyDescent="0.35">
      <c r="A15">
        <v>2006</v>
      </c>
      <c r="B15">
        <v>1</v>
      </c>
      <c r="C15" s="7">
        <v>6873</v>
      </c>
      <c r="D15" s="36">
        <v>7.4019787467936972E-3</v>
      </c>
      <c r="E15" s="11">
        <v>2900</v>
      </c>
      <c r="F15" s="11">
        <v>8936</v>
      </c>
      <c r="G15" s="11">
        <v>25914400</v>
      </c>
      <c r="H15" s="6">
        <v>297</v>
      </c>
      <c r="I15" s="7">
        <v>2860</v>
      </c>
      <c r="J15" s="7">
        <v>2006</v>
      </c>
      <c r="K15" s="7">
        <v>4867</v>
      </c>
      <c r="N15" s="7">
        <v>6873</v>
      </c>
      <c r="O15" s="30">
        <v>5726.2262549999996</v>
      </c>
      <c r="P15" s="30">
        <v>1146.7737450000004</v>
      </c>
    </row>
    <row r="16" spans="1:16" x14ac:dyDescent="0.35">
      <c r="B16">
        <v>2</v>
      </c>
      <c r="C16" s="7">
        <v>6949.5</v>
      </c>
      <c r="D16" s="36">
        <v>1.1130510694020079E-2</v>
      </c>
      <c r="E16" s="11">
        <v>2950</v>
      </c>
      <c r="F16" s="11">
        <v>8945.5</v>
      </c>
      <c r="G16" s="11">
        <v>26389225</v>
      </c>
      <c r="H16" s="6">
        <v>287.25</v>
      </c>
      <c r="I16" s="7">
        <v>2993</v>
      </c>
      <c r="J16" s="7">
        <v>2006</v>
      </c>
      <c r="K16" s="7">
        <v>4943.5</v>
      </c>
      <c r="N16" s="7">
        <v>6949.5</v>
      </c>
      <c r="O16" s="30">
        <v>5767.5153399999999</v>
      </c>
      <c r="P16" s="30">
        <v>1181.9846600000001</v>
      </c>
    </row>
    <row r="17" spans="1:16" x14ac:dyDescent="0.35">
      <c r="A17">
        <v>2007</v>
      </c>
      <c r="B17">
        <v>1</v>
      </c>
      <c r="C17" s="7">
        <v>7026</v>
      </c>
      <c r="D17" s="36">
        <v>1.1007986186056551E-2</v>
      </c>
      <c r="E17" s="11">
        <v>3000</v>
      </c>
      <c r="F17" s="11">
        <v>8955</v>
      </c>
      <c r="G17" s="11">
        <v>26865000</v>
      </c>
      <c r="H17" s="6">
        <v>277.5</v>
      </c>
      <c r="I17" s="7">
        <v>3126</v>
      </c>
      <c r="J17" s="7">
        <v>2007</v>
      </c>
      <c r="K17" s="7">
        <v>5019</v>
      </c>
      <c r="N17" s="7">
        <v>7026</v>
      </c>
      <c r="O17" s="30">
        <v>5808.1596069999996</v>
      </c>
      <c r="P17" s="30">
        <v>1217.8403930000004</v>
      </c>
    </row>
    <row r="18" spans="1:16" x14ac:dyDescent="0.35">
      <c r="B18">
        <v>2</v>
      </c>
      <c r="C18" s="7">
        <v>7172</v>
      </c>
      <c r="D18" s="36">
        <v>2.0779960148021633E-2</v>
      </c>
      <c r="E18" s="11">
        <v>3250</v>
      </c>
      <c r="F18" s="11">
        <v>8968</v>
      </c>
      <c r="G18" s="11">
        <v>29146000</v>
      </c>
      <c r="H18" s="6">
        <v>208.25</v>
      </c>
      <c r="I18" s="7">
        <v>3194.5</v>
      </c>
      <c r="J18" s="7">
        <v>2007</v>
      </c>
      <c r="K18" s="7">
        <v>5165</v>
      </c>
      <c r="N18" s="7">
        <v>7172</v>
      </c>
      <c r="O18" s="30">
        <v>6054.1525139999994</v>
      </c>
      <c r="P18" s="30">
        <v>1117.8474860000006</v>
      </c>
    </row>
    <row r="19" spans="1:16" x14ac:dyDescent="0.35">
      <c r="A19">
        <v>2008</v>
      </c>
      <c r="B19">
        <v>1</v>
      </c>
      <c r="C19" s="7">
        <v>7318</v>
      </c>
      <c r="D19" s="36">
        <v>2.0356943669827106E-2</v>
      </c>
      <c r="E19" s="11">
        <v>3500</v>
      </c>
      <c r="F19" s="11">
        <v>8981</v>
      </c>
      <c r="G19" s="11">
        <v>31433500</v>
      </c>
      <c r="H19" s="6">
        <v>139</v>
      </c>
      <c r="I19" s="7">
        <v>3263</v>
      </c>
      <c r="J19" s="7">
        <v>2008</v>
      </c>
      <c r="K19" s="7">
        <v>5310</v>
      </c>
      <c r="N19" s="7">
        <v>7318</v>
      </c>
      <c r="O19" s="30">
        <v>6299.7164979999998</v>
      </c>
      <c r="P19" s="30">
        <v>1018.2835020000002</v>
      </c>
    </row>
    <row r="20" spans="1:16" x14ac:dyDescent="0.35">
      <c r="B20">
        <v>2</v>
      </c>
      <c r="C20" s="7">
        <v>7334.5</v>
      </c>
      <c r="D20" s="36">
        <v>2.2547144028423065E-3</v>
      </c>
      <c r="E20" s="11">
        <v>3650</v>
      </c>
      <c r="F20" s="11">
        <v>8995.5</v>
      </c>
      <c r="G20" s="11">
        <v>32833575</v>
      </c>
      <c r="H20" s="6">
        <v>160</v>
      </c>
      <c r="I20" s="7">
        <v>3380.5</v>
      </c>
      <c r="J20" s="7">
        <v>2008</v>
      </c>
      <c r="K20" s="7">
        <v>5326.5</v>
      </c>
      <c r="N20" s="7">
        <v>7334.5</v>
      </c>
      <c r="O20" s="30">
        <v>6305.9294170000003</v>
      </c>
      <c r="P20" s="30">
        <v>1028.5705829999997</v>
      </c>
    </row>
    <row r="21" spans="1:16" x14ac:dyDescent="0.35">
      <c r="A21">
        <v>2009</v>
      </c>
      <c r="B21">
        <v>1</v>
      </c>
      <c r="C21" s="7">
        <v>7351</v>
      </c>
      <c r="D21" s="36">
        <v>2.2496421023928013E-3</v>
      </c>
      <c r="E21" s="11">
        <v>3800</v>
      </c>
      <c r="F21" s="11">
        <v>9010</v>
      </c>
      <c r="G21" s="11">
        <v>34238000</v>
      </c>
      <c r="H21" s="6">
        <v>181</v>
      </c>
      <c r="I21" s="7">
        <v>3498</v>
      </c>
      <c r="J21" s="7">
        <v>2009</v>
      </c>
      <c r="K21" s="7">
        <v>5342</v>
      </c>
      <c r="N21" s="7">
        <v>7351</v>
      </c>
      <c r="O21" s="30">
        <v>6311.6297779999995</v>
      </c>
      <c r="P21" s="30">
        <v>1039.3702220000005</v>
      </c>
    </row>
    <row r="22" spans="1:16" x14ac:dyDescent="0.35">
      <c r="B22">
        <v>2</v>
      </c>
      <c r="C22" s="7">
        <v>7371</v>
      </c>
      <c r="D22" s="36">
        <v>2.7207182696231806E-3</v>
      </c>
      <c r="E22" s="11">
        <v>3900</v>
      </c>
      <c r="F22" s="11">
        <v>9023.5</v>
      </c>
      <c r="G22" s="11">
        <v>35191650</v>
      </c>
      <c r="H22" s="6">
        <v>300.5</v>
      </c>
      <c r="I22" s="7">
        <v>3572.5</v>
      </c>
      <c r="J22" s="7">
        <v>2009</v>
      </c>
      <c r="K22" s="7">
        <v>5362</v>
      </c>
      <c r="N22" s="7">
        <v>7371</v>
      </c>
      <c r="O22" s="30">
        <v>6204.2266519999994</v>
      </c>
      <c r="P22" s="30">
        <v>1166.7733480000006</v>
      </c>
    </row>
    <row r="23" spans="1:16" x14ac:dyDescent="0.35">
      <c r="A23">
        <v>2010</v>
      </c>
      <c r="B23">
        <v>1</v>
      </c>
      <c r="C23" s="7">
        <v>7391</v>
      </c>
      <c r="D23" s="36">
        <v>2.71333604666938E-3</v>
      </c>
      <c r="E23" s="11">
        <v>4000</v>
      </c>
      <c r="F23" s="11">
        <v>9037</v>
      </c>
      <c r="G23" s="11">
        <v>36148000</v>
      </c>
      <c r="H23" s="6">
        <v>420</v>
      </c>
      <c r="I23" s="7">
        <v>3647</v>
      </c>
      <c r="J23" s="7">
        <v>2010</v>
      </c>
      <c r="K23" s="7">
        <v>5381</v>
      </c>
      <c r="N23" s="7">
        <v>7391</v>
      </c>
      <c r="O23" s="30">
        <v>6096.2467829999996</v>
      </c>
      <c r="P23" s="30">
        <v>1294.7532170000004</v>
      </c>
    </row>
    <row r="24" spans="1:16" x14ac:dyDescent="0.35">
      <c r="B24">
        <v>2</v>
      </c>
      <c r="C24" s="7">
        <v>7640.5</v>
      </c>
      <c r="D24" s="36">
        <v>3.3757272358273575E-2</v>
      </c>
      <c r="E24" s="11">
        <v>4150</v>
      </c>
      <c r="F24" s="11">
        <v>9052.5</v>
      </c>
      <c r="G24" s="11">
        <v>37567875</v>
      </c>
      <c r="H24" s="6">
        <v>325.5</v>
      </c>
      <c r="I24" s="7">
        <v>3713.5</v>
      </c>
      <c r="J24" s="7">
        <v>2010</v>
      </c>
      <c r="K24" s="7">
        <v>5630.5</v>
      </c>
      <c r="N24" s="7">
        <v>7640.5</v>
      </c>
      <c r="O24" s="30">
        <v>6408.5455449999999</v>
      </c>
      <c r="P24" s="30">
        <v>1231.9544550000001</v>
      </c>
    </row>
    <row r="25" spans="1:16" x14ac:dyDescent="0.35">
      <c r="A25">
        <v>2011</v>
      </c>
      <c r="B25">
        <v>1</v>
      </c>
      <c r="C25" s="7">
        <v>7890</v>
      </c>
      <c r="D25" s="36">
        <v>3.2654930960015704E-2</v>
      </c>
      <c r="E25" s="11">
        <v>4300</v>
      </c>
      <c r="F25" s="11">
        <v>9068</v>
      </c>
      <c r="G25" s="11">
        <v>38992400</v>
      </c>
      <c r="H25" s="6">
        <v>231</v>
      </c>
      <c r="I25" s="7">
        <v>3780</v>
      </c>
      <c r="J25" s="7">
        <v>2011</v>
      </c>
      <c r="K25" s="7">
        <v>5879</v>
      </c>
      <c r="N25" s="7">
        <v>7890</v>
      </c>
      <c r="O25" s="30">
        <v>6720.3434189999998</v>
      </c>
      <c r="P25" s="30">
        <v>1169.6565810000002</v>
      </c>
    </row>
    <row r="26" spans="1:16" x14ac:dyDescent="0.35">
      <c r="B26">
        <v>2</v>
      </c>
      <c r="C26" s="7">
        <v>8266.5</v>
      </c>
      <c r="D26" s="36">
        <v>4.7718631178707227E-2</v>
      </c>
      <c r="E26" s="11">
        <v>4350</v>
      </c>
      <c r="F26" s="11">
        <v>9369</v>
      </c>
      <c r="G26" s="11">
        <v>40755150</v>
      </c>
      <c r="H26" s="6">
        <v>181.5</v>
      </c>
      <c r="I26" s="7">
        <v>3931</v>
      </c>
      <c r="J26" s="7">
        <v>2011</v>
      </c>
      <c r="K26" s="7">
        <v>6255.5</v>
      </c>
      <c r="N26" s="7">
        <v>8266.5</v>
      </c>
      <c r="O26" s="30">
        <v>7055.8731344999997</v>
      </c>
      <c r="P26" s="30">
        <v>1210.6268655000003</v>
      </c>
    </row>
    <row r="27" spans="1:16" x14ac:dyDescent="0.35">
      <c r="A27">
        <v>2012</v>
      </c>
      <c r="B27">
        <v>1</v>
      </c>
      <c r="C27" s="7">
        <v>8643</v>
      </c>
      <c r="D27" s="36">
        <v>4.5545273090183268E-2</v>
      </c>
      <c r="E27" s="11">
        <v>4400</v>
      </c>
      <c r="F27" s="11">
        <v>9670</v>
      </c>
      <c r="G27" s="11">
        <v>42548000</v>
      </c>
      <c r="H27" s="6">
        <v>132</v>
      </c>
      <c r="I27" s="7">
        <v>4082</v>
      </c>
      <c r="J27" s="7">
        <v>2012</v>
      </c>
      <c r="K27" s="7">
        <v>6631</v>
      </c>
      <c r="N27" s="7">
        <v>8643</v>
      </c>
      <c r="O27" s="30">
        <v>7391.8919669999996</v>
      </c>
      <c r="P27" s="30">
        <v>1251.1080330000004</v>
      </c>
    </row>
    <row r="28" spans="1:16" x14ac:dyDescent="0.35">
      <c r="B28">
        <v>2</v>
      </c>
      <c r="C28" s="7">
        <v>8792</v>
      </c>
      <c r="D28" s="36">
        <v>1.7239384472983919E-2</v>
      </c>
      <c r="E28" s="11">
        <v>4600</v>
      </c>
      <c r="F28" s="11">
        <v>10929.5</v>
      </c>
      <c r="G28" s="11">
        <v>50275700</v>
      </c>
      <c r="H28" s="6">
        <v>195</v>
      </c>
      <c r="I28" s="7">
        <v>4352.5</v>
      </c>
      <c r="J28" s="7">
        <v>2012</v>
      </c>
      <c r="K28" s="7">
        <v>6780</v>
      </c>
      <c r="N28" s="7">
        <v>8792</v>
      </c>
      <c r="O28" s="30">
        <v>7640.490135</v>
      </c>
      <c r="P28" s="30">
        <v>1151.509865</v>
      </c>
    </row>
    <row r="29" spans="1:16" x14ac:dyDescent="0.35">
      <c r="A29">
        <v>2013</v>
      </c>
      <c r="B29">
        <v>1</v>
      </c>
      <c r="C29" s="7">
        <v>8941</v>
      </c>
      <c r="D29" s="36">
        <v>1.6947224749772522E-2</v>
      </c>
      <c r="E29" s="11">
        <v>4800</v>
      </c>
      <c r="F29" s="11">
        <v>12189</v>
      </c>
      <c r="G29" s="11">
        <v>58507200</v>
      </c>
      <c r="H29" s="6">
        <v>258</v>
      </c>
      <c r="I29" s="7">
        <v>4623</v>
      </c>
      <c r="J29" s="7">
        <v>2013</v>
      </c>
      <c r="K29" s="7">
        <v>6928</v>
      </c>
      <c r="N29" s="7">
        <v>8941</v>
      </c>
      <c r="O29" s="30">
        <v>7908.0043499999992</v>
      </c>
      <c r="P29" s="30">
        <v>1032.9956500000008</v>
      </c>
    </row>
    <row r="30" spans="1:16" x14ac:dyDescent="0.35">
      <c r="B30">
        <v>2</v>
      </c>
      <c r="C30" s="7">
        <v>9289.5</v>
      </c>
      <c r="D30" s="36">
        <v>3.8977742981769377E-2</v>
      </c>
      <c r="E30" s="11">
        <v>5250</v>
      </c>
      <c r="F30" s="11">
        <v>12314.5</v>
      </c>
      <c r="G30" s="11">
        <v>64651125</v>
      </c>
      <c r="H30" s="6">
        <v>263.5</v>
      </c>
      <c r="I30" s="7">
        <v>4780.5</v>
      </c>
      <c r="J30" s="7">
        <v>2013</v>
      </c>
      <c r="K30" s="7">
        <v>7276.5</v>
      </c>
      <c r="N30" s="7">
        <v>9289.5</v>
      </c>
      <c r="O30" s="30">
        <v>8330.5297739999987</v>
      </c>
      <c r="P30" s="30">
        <v>958.97022600000128</v>
      </c>
    </row>
    <row r="31" spans="1:16" x14ac:dyDescent="0.35">
      <c r="A31">
        <v>2014</v>
      </c>
      <c r="B31">
        <v>1</v>
      </c>
      <c r="C31" s="7">
        <v>9638</v>
      </c>
      <c r="D31" s="36">
        <v>3.7515474460412292E-2</v>
      </c>
      <c r="E31" s="11">
        <v>5700</v>
      </c>
      <c r="F31" s="11">
        <v>12440</v>
      </c>
      <c r="G31" s="11">
        <v>70908000</v>
      </c>
      <c r="H31" s="6">
        <v>269</v>
      </c>
      <c r="I31" s="7">
        <v>4938</v>
      </c>
      <c r="J31" s="7">
        <v>2014</v>
      </c>
      <c r="K31" s="7">
        <v>7624</v>
      </c>
      <c r="N31" s="7">
        <v>9638</v>
      </c>
      <c r="O31" s="30">
        <v>8756.7671799999989</v>
      </c>
      <c r="P31" s="30">
        <v>881.23282000000108</v>
      </c>
    </row>
    <row r="32" spans="1:16" x14ac:dyDescent="0.35">
      <c r="B32">
        <v>2</v>
      </c>
      <c r="C32" s="7">
        <v>10276.5</v>
      </c>
      <c r="D32" s="36">
        <v>6.6248184270595561E-2</v>
      </c>
      <c r="E32" s="11">
        <v>6250</v>
      </c>
      <c r="F32" s="11">
        <v>13117.5</v>
      </c>
      <c r="G32" s="11">
        <v>81984375</v>
      </c>
      <c r="H32" s="6">
        <v>272</v>
      </c>
      <c r="I32" s="7">
        <v>5050.5</v>
      </c>
      <c r="J32" s="7">
        <v>2014</v>
      </c>
      <c r="K32" s="7">
        <v>8262.5</v>
      </c>
      <c r="N32" s="7">
        <v>10276.5</v>
      </c>
      <c r="O32" s="30">
        <v>9585.3809490000003</v>
      </c>
      <c r="P32" s="30">
        <v>691.11905099999967</v>
      </c>
    </row>
    <row r="33" spans="1:16" x14ac:dyDescent="0.35">
      <c r="A33">
        <v>2015</v>
      </c>
      <c r="B33">
        <v>1</v>
      </c>
      <c r="C33" s="7">
        <v>10915</v>
      </c>
      <c r="D33" s="36">
        <v>6.2132048849316404E-2</v>
      </c>
      <c r="E33" s="11">
        <v>6800</v>
      </c>
      <c r="F33" s="11">
        <v>13795</v>
      </c>
      <c r="G33" s="11">
        <v>93806000</v>
      </c>
      <c r="H33" s="6">
        <v>275</v>
      </c>
      <c r="I33" s="7">
        <v>5163</v>
      </c>
      <c r="J33" s="7">
        <v>2015</v>
      </c>
      <c r="K33" s="7">
        <v>8900</v>
      </c>
      <c r="N33" s="7">
        <v>10915</v>
      </c>
      <c r="O33" s="30">
        <v>10442.303169999999</v>
      </c>
      <c r="P33" s="30">
        <v>472.69683000000077</v>
      </c>
    </row>
    <row r="34" spans="1:16" x14ac:dyDescent="0.35">
      <c r="B34">
        <v>2</v>
      </c>
      <c r="C34" s="7">
        <v>11213</v>
      </c>
      <c r="D34" s="36">
        <v>2.7301878149335778E-2</v>
      </c>
      <c r="E34" s="11">
        <v>6500</v>
      </c>
      <c r="F34" s="11">
        <v>13615.5</v>
      </c>
      <c r="G34" s="11">
        <v>88500750</v>
      </c>
      <c r="H34" s="6">
        <v>293</v>
      </c>
      <c r="I34" s="7">
        <v>5244</v>
      </c>
      <c r="J34" s="7">
        <v>2015</v>
      </c>
      <c r="K34" s="7">
        <v>9198</v>
      </c>
      <c r="N34" s="7">
        <v>11213</v>
      </c>
      <c r="O34" s="30">
        <v>10394.085364999999</v>
      </c>
      <c r="P34" s="30">
        <v>818.914635000001</v>
      </c>
    </row>
    <row r="35" spans="1:16" x14ac:dyDescent="0.35">
      <c r="A35">
        <v>2016</v>
      </c>
      <c r="B35">
        <v>1</v>
      </c>
      <c r="C35" s="7">
        <v>11511</v>
      </c>
      <c r="D35" s="36">
        <v>2.6576295371443858E-2</v>
      </c>
      <c r="E35" s="11">
        <v>6200</v>
      </c>
      <c r="F35" s="11">
        <v>13436</v>
      </c>
      <c r="G35" s="11">
        <v>83303200</v>
      </c>
      <c r="H35" s="6">
        <v>311</v>
      </c>
      <c r="I35" s="7">
        <v>5325</v>
      </c>
      <c r="J35" s="7">
        <v>2016</v>
      </c>
      <c r="K35" s="7">
        <v>9495</v>
      </c>
      <c r="N35" s="7">
        <v>11511</v>
      </c>
      <c r="O35" s="30">
        <v>10349.375317</v>
      </c>
      <c r="P35" s="30">
        <v>1161.624683</v>
      </c>
    </row>
    <row r="36" spans="1:16" x14ac:dyDescent="0.35">
      <c r="B36">
        <v>2</v>
      </c>
      <c r="C36" s="7">
        <v>11523</v>
      </c>
      <c r="D36" s="36">
        <v>1.0424811050299713E-3</v>
      </c>
      <c r="E36" s="11">
        <v>6250</v>
      </c>
      <c r="F36" s="11">
        <v>13492</v>
      </c>
      <c r="G36" s="11">
        <v>84325000</v>
      </c>
      <c r="H36" s="6">
        <v>336.5</v>
      </c>
      <c r="I36" s="7">
        <v>5637</v>
      </c>
      <c r="J36" s="7">
        <v>2016</v>
      </c>
      <c r="K36" s="7">
        <v>9507</v>
      </c>
      <c r="N36" s="7">
        <v>11523</v>
      </c>
      <c r="O36" s="30">
        <v>10273.630909</v>
      </c>
      <c r="P36" s="30">
        <v>1249.3690910000005</v>
      </c>
    </row>
    <row r="37" spans="1:16" x14ac:dyDescent="0.35">
      <c r="A37">
        <v>2017</v>
      </c>
      <c r="B37">
        <v>1</v>
      </c>
      <c r="C37" s="7">
        <v>11535</v>
      </c>
      <c r="D37" s="36">
        <v>1.0413954699297059E-3</v>
      </c>
      <c r="E37" s="11">
        <v>6300</v>
      </c>
      <c r="F37" s="11">
        <v>13548</v>
      </c>
      <c r="G37" s="11">
        <v>85352400</v>
      </c>
      <c r="H37" s="6">
        <v>362</v>
      </c>
      <c r="I37" s="7">
        <v>5949</v>
      </c>
      <c r="J37" s="7">
        <v>2017</v>
      </c>
      <c r="K37" s="7">
        <v>9518</v>
      </c>
      <c r="N37" s="7">
        <v>11535</v>
      </c>
      <c r="O37" s="30">
        <v>10197.422568</v>
      </c>
      <c r="P37" s="30">
        <v>1337.577432</v>
      </c>
    </row>
    <row r="38" spans="1:16" x14ac:dyDescent="0.35">
      <c r="B38">
        <v>2</v>
      </c>
      <c r="C38" s="7">
        <v>11794.5</v>
      </c>
      <c r="D38" s="36">
        <v>2.2496749024707413E-2</v>
      </c>
      <c r="E38" s="11">
        <v>6350</v>
      </c>
      <c r="F38" s="11">
        <v>14014.5</v>
      </c>
      <c r="G38" s="11">
        <v>88992075</v>
      </c>
      <c r="H38" s="6">
        <v>387.5</v>
      </c>
      <c r="I38" s="7">
        <v>5806</v>
      </c>
      <c r="J38" s="7">
        <v>2017</v>
      </c>
      <c r="K38" s="7">
        <v>9777.5</v>
      </c>
      <c r="N38" s="7">
        <v>11794.5</v>
      </c>
      <c r="O38" s="30">
        <v>10530.440365</v>
      </c>
      <c r="P38" s="30">
        <v>1264.0596349999996</v>
      </c>
    </row>
    <row r="39" spans="1:16" x14ac:dyDescent="0.35">
      <c r="A39">
        <v>2018</v>
      </c>
      <c r="B39">
        <v>1</v>
      </c>
      <c r="C39" s="7">
        <v>12054</v>
      </c>
      <c r="D39" s="36">
        <v>2.2001780490906779E-2</v>
      </c>
      <c r="E39" s="11">
        <v>6400</v>
      </c>
      <c r="F39" s="11">
        <v>14481</v>
      </c>
      <c r="G39" s="11">
        <v>92678400</v>
      </c>
      <c r="H39" s="6">
        <v>413</v>
      </c>
      <c r="I39" s="7">
        <v>5663</v>
      </c>
      <c r="J39" s="7">
        <v>2018</v>
      </c>
      <c r="K39" s="7">
        <v>10036</v>
      </c>
      <c r="N39" s="7">
        <v>12054</v>
      </c>
      <c r="O39" s="30">
        <v>10864.591073999998</v>
      </c>
      <c r="P39" s="30">
        <v>1189.4089260000019</v>
      </c>
    </row>
    <row r="40" spans="1:16" x14ac:dyDescent="0.35">
      <c r="B40">
        <v>2</v>
      </c>
      <c r="C40" s="7">
        <v>12072.5</v>
      </c>
      <c r="D40" s="36">
        <v>1.5347602455616392E-3</v>
      </c>
      <c r="E40" s="11">
        <v>6450</v>
      </c>
      <c r="F40" s="11">
        <v>14191</v>
      </c>
      <c r="G40" s="11">
        <v>91531950</v>
      </c>
      <c r="H40" s="6">
        <v>426</v>
      </c>
      <c r="I40" s="7">
        <v>5683</v>
      </c>
      <c r="J40" s="7">
        <v>2018</v>
      </c>
      <c r="K40" s="7">
        <v>10054.5</v>
      </c>
      <c r="N40" s="7">
        <v>12072.5</v>
      </c>
      <c r="O40" s="30">
        <v>10811.7911855</v>
      </c>
      <c r="P40" s="30">
        <v>1260.7088144999998</v>
      </c>
    </row>
    <row r="41" spans="1:16" x14ac:dyDescent="0.35">
      <c r="A41">
        <v>2019</v>
      </c>
      <c r="B41">
        <v>1</v>
      </c>
      <c r="C41" s="7">
        <v>12091</v>
      </c>
      <c r="D41" s="36">
        <v>1.5324083661213501E-3</v>
      </c>
      <c r="E41" s="11">
        <v>6500</v>
      </c>
      <c r="F41" s="11">
        <v>13901</v>
      </c>
      <c r="G41" s="11">
        <v>90356500</v>
      </c>
      <c r="H41" s="6">
        <v>439</v>
      </c>
      <c r="I41" s="7">
        <v>5703</v>
      </c>
      <c r="J41" s="7">
        <v>2019</v>
      </c>
      <c r="K41" s="7">
        <v>10072</v>
      </c>
      <c r="N41" s="7">
        <v>12091</v>
      </c>
      <c r="O41" s="30">
        <v>10757.181423999999</v>
      </c>
      <c r="P41" s="30">
        <v>1333.8185760000015</v>
      </c>
    </row>
    <row r="42" spans="1:16" x14ac:dyDescent="0.35">
      <c r="B42">
        <v>2</v>
      </c>
      <c r="C42" s="7">
        <v>12201</v>
      </c>
      <c r="D42" s="36">
        <v>9.0976759573236296E-3</v>
      </c>
      <c r="E42" s="11">
        <v>6700</v>
      </c>
      <c r="F42" s="11">
        <v>14003</v>
      </c>
      <c r="G42" s="11">
        <v>93820100</v>
      </c>
      <c r="H42" s="6">
        <v>445.75</v>
      </c>
      <c r="I42" s="7">
        <v>5546</v>
      </c>
      <c r="J42" s="7">
        <v>2019</v>
      </c>
      <c r="K42" s="7">
        <v>10182</v>
      </c>
      <c r="N42" s="7">
        <v>12201</v>
      </c>
      <c r="O42" s="30">
        <v>11006.938679999999</v>
      </c>
      <c r="P42" s="30">
        <v>1194.0613200000007</v>
      </c>
    </row>
    <row r="43" spans="1:16" x14ac:dyDescent="0.35">
      <c r="A43">
        <v>2020</v>
      </c>
      <c r="B43">
        <v>1</v>
      </c>
      <c r="C43" s="7">
        <v>12311</v>
      </c>
      <c r="D43" s="36">
        <v>9.0156544545529054E-3</v>
      </c>
      <c r="E43" s="11">
        <v>6900</v>
      </c>
      <c r="F43" s="11">
        <v>14105</v>
      </c>
      <c r="G43" s="11">
        <v>97324500</v>
      </c>
      <c r="H43" s="6">
        <v>452.5</v>
      </c>
      <c r="I43" s="7">
        <v>5389</v>
      </c>
      <c r="J43" s="7">
        <v>2020</v>
      </c>
      <c r="K43" s="7">
        <v>10291</v>
      </c>
      <c r="N43" s="7">
        <v>12311</v>
      </c>
      <c r="O43" s="30">
        <v>11257.601283</v>
      </c>
      <c r="P43" s="30">
        <v>1053.398717</v>
      </c>
    </row>
    <row r="44" spans="1:16" x14ac:dyDescent="0.35">
      <c r="B44">
        <v>2</v>
      </c>
      <c r="C44" s="7">
        <v>12256</v>
      </c>
      <c r="D44" s="36">
        <v>-4.4675493461132322E-3</v>
      </c>
      <c r="E44" s="11">
        <v>4200</v>
      </c>
      <c r="F44" s="11">
        <v>11412</v>
      </c>
      <c r="G44" s="11">
        <v>47930400</v>
      </c>
      <c r="H44" s="6">
        <v>408</v>
      </c>
      <c r="I44" s="7">
        <v>5467.5</v>
      </c>
      <c r="J44" s="7">
        <v>2020</v>
      </c>
      <c r="K44" s="7">
        <v>10236</v>
      </c>
      <c r="N44" s="7">
        <v>12256</v>
      </c>
      <c r="O44" s="30">
        <v>9325.293619</v>
      </c>
      <c r="P44" s="30">
        <v>2930.706381</v>
      </c>
    </row>
    <row r="45" spans="1:16" x14ac:dyDescent="0.35">
      <c r="A45">
        <v>2021</v>
      </c>
      <c r="B45">
        <v>1</v>
      </c>
      <c r="C45" s="7">
        <v>12321.833914053401</v>
      </c>
      <c r="D45" s="36">
        <v>5.3715660944354442E-3</v>
      </c>
      <c r="E45" s="11">
        <v>7139.0243902438997</v>
      </c>
      <c r="F45" s="11">
        <v>14106.328687572601</v>
      </c>
      <c r="G45" s="11">
        <v>100705424.55737801</v>
      </c>
      <c r="H45" s="6">
        <v>340.18292682926801</v>
      </c>
      <c r="I45" s="7">
        <v>5546</v>
      </c>
      <c r="J45" s="7">
        <v>2021</v>
      </c>
      <c r="K45" s="7">
        <v>10300.833914053401</v>
      </c>
      <c r="N45" s="7">
        <v>12321.833914053401</v>
      </c>
      <c r="O45" s="30">
        <v>11475.505242197201</v>
      </c>
      <c r="P45" s="30">
        <v>846.32867185619943</v>
      </c>
    </row>
    <row r="46" spans="1:16" x14ac:dyDescent="0.35">
      <c r="B46">
        <v>2</v>
      </c>
      <c r="C46" s="7">
        <v>12490.763619912001</v>
      </c>
      <c r="D46" s="36">
        <v>1.3709785981284063E-2</v>
      </c>
      <c r="E46" s="11">
        <v>7277.71655457418</v>
      </c>
      <c r="F46" s="11">
        <v>14265.36944602</v>
      </c>
      <c r="G46" s="11">
        <v>103819315.37441646</v>
      </c>
      <c r="H46" s="6">
        <v>341.62997325986498</v>
      </c>
      <c r="I46" s="7">
        <v>5624.5</v>
      </c>
      <c r="J46" s="7">
        <v>2021</v>
      </c>
      <c r="K46" s="7">
        <v>10469.763619912001</v>
      </c>
      <c r="N46" s="7">
        <v>12490.763619912001</v>
      </c>
      <c r="O46" s="30">
        <v>11686.32516798552</v>
      </c>
      <c r="P46" s="30">
        <v>804.43845192648041</v>
      </c>
    </row>
    <row r="47" spans="1:16" x14ac:dyDescent="0.35">
      <c r="A47">
        <v>2022</v>
      </c>
      <c r="B47">
        <v>1</v>
      </c>
      <c r="C47" s="7">
        <v>12659.6933257705</v>
      </c>
      <c r="D47" s="36">
        <v>1.3524369766248922E-2</v>
      </c>
      <c r="E47" s="11">
        <v>7416.4087189044603</v>
      </c>
      <c r="F47" s="11">
        <v>14424.4102044675</v>
      </c>
      <c r="G47" s="11">
        <v>106977321.60546723</v>
      </c>
      <c r="H47" s="6">
        <v>343.07701969046298</v>
      </c>
      <c r="I47" s="7">
        <v>5703</v>
      </c>
      <c r="J47" s="7">
        <v>2022</v>
      </c>
      <c r="K47" s="7">
        <v>10637.6933257705</v>
      </c>
      <c r="N47" s="7">
        <v>12659.6933257705</v>
      </c>
      <c r="O47" s="30">
        <v>11898.179410378851</v>
      </c>
      <c r="P47" s="30">
        <v>761.51391539164979</v>
      </c>
    </row>
    <row r="48" spans="1:16" x14ac:dyDescent="0.35">
      <c r="B48">
        <v>2</v>
      </c>
      <c r="C48" s="7">
        <v>12828.623031629</v>
      </c>
      <c r="D48" s="36">
        <v>1.3343901902791024E-2</v>
      </c>
      <c r="E48" s="11">
        <v>7555.1008832347397</v>
      </c>
      <c r="F48" s="11">
        <v>14583.4509629149</v>
      </c>
      <c r="G48" s="11">
        <v>110179443.25052887</v>
      </c>
      <c r="H48" s="6">
        <v>344.52406612106</v>
      </c>
      <c r="I48" s="7">
        <v>5781.5</v>
      </c>
      <c r="J48" s="7">
        <v>2022</v>
      </c>
      <c r="K48" s="7">
        <v>10806.623031629</v>
      </c>
      <c r="N48" s="7">
        <v>12828.623031629</v>
      </c>
      <c r="O48" s="30">
        <v>12112.431515377204</v>
      </c>
      <c r="P48" s="30">
        <v>716.1915162517962</v>
      </c>
    </row>
    <row r="49" spans="1:16" x14ac:dyDescent="0.35">
      <c r="A49" s="37">
        <v>2023</v>
      </c>
      <c r="B49" s="37"/>
      <c r="C49" s="7">
        <v>12997.5527374875</v>
      </c>
      <c r="D49" s="36">
        <v>1.3168186908447089E-2</v>
      </c>
      <c r="E49" s="11"/>
      <c r="F49" s="11"/>
      <c r="G49" s="11"/>
      <c r="H49" s="6"/>
      <c r="I49" s="7"/>
      <c r="J49" s="7"/>
      <c r="K49" s="7"/>
      <c r="N49" s="7"/>
      <c r="O49" s="30"/>
      <c r="P49" s="30"/>
    </row>
    <row r="50" spans="1:16" x14ac:dyDescent="0.35">
      <c r="A50" s="37">
        <v>2024</v>
      </c>
      <c r="B50" s="37"/>
      <c r="C50" s="7">
        <v>13166.482443346</v>
      </c>
      <c r="D50" s="36">
        <v>1.2997039463534799E-2</v>
      </c>
      <c r="O50" t="s">
        <v>315</v>
      </c>
      <c r="P50" s="30">
        <v>53574.624645426142</v>
      </c>
    </row>
    <row r="51" spans="1:16" x14ac:dyDescent="0.35">
      <c r="A51" s="37">
        <v>2025</v>
      </c>
      <c r="B51" s="37"/>
      <c r="C51" s="7">
        <v>13335.4121492046</v>
      </c>
      <c r="D51" s="36">
        <v>1.2830283759195878E-2</v>
      </c>
      <c r="O51" t="s">
        <v>316</v>
      </c>
      <c r="P51" s="30">
        <v>1219.077785857143</v>
      </c>
    </row>
    <row r="52" spans="1:16" x14ac:dyDescent="0.35">
      <c r="A52" s="37">
        <v>2026</v>
      </c>
      <c r="B52" s="37"/>
      <c r="C52" s="7">
        <v>13504.3418550631</v>
      </c>
      <c r="D52" s="36">
        <v>1.2667752894954637E-2</v>
      </c>
      <c r="F52" t="s">
        <v>310</v>
      </c>
      <c r="O52" t="s">
        <v>364</v>
      </c>
      <c r="P52">
        <v>34.915294440361563</v>
      </c>
    </row>
    <row r="53" spans="1:16" ht="15.5" x14ac:dyDescent="0.35">
      <c r="A53" s="37">
        <v>2027</v>
      </c>
      <c r="B53" s="37"/>
      <c r="C53" s="7">
        <v>13673.271560921599</v>
      </c>
      <c r="D53" s="36">
        <v>1.2509288321604806E-2</v>
      </c>
      <c r="F53" s="8" t="s">
        <v>104</v>
      </c>
      <c r="G53" s="8"/>
      <c r="H53" s="30">
        <v>3.8899999999999997E-5</v>
      </c>
    </row>
    <row r="54" spans="1:16" ht="15.5" x14ac:dyDescent="0.35">
      <c r="A54" s="37"/>
      <c r="B54" s="37"/>
      <c r="C54" s="7"/>
      <c r="D54" s="16">
        <v>3.1232074129362485E-2</v>
      </c>
      <c r="F54" s="19" t="s">
        <v>103</v>
      </c>
      <c r="G54" s="19"/>
      <c r="H54">
        <v>-1.1339680000000001</v>
      </c>
    </row>
    <row r="55" spans="1:16" ht="15.5" x14ac:dyDescent="0.35">
      <c r="A55" s="37"/>
      <c r="B55" s="37"/>
      <c r="C55" s="7"/>
      <c r="D55" s="36"/>
      <c r="F55" s="19" t="s">
        <v>67</v>
      </c>
      <c r="G55" s="19"/>
      <c r="H55">
        <v>-0.30370999999999998</v>
      </c>
    </row>
    <row r="56" spans="1:16" ht="15.5" x14ac:dyDescent="0.35">
      <c r="A56" s="37"/>
      <c r="B56" s="37"/>
      <c r="C56" s="7"/>
      <c r="D56" s="36"/>
      <c r="F56" s="19" t="s">
        <v>109</v>
      </c>
      <c r="G56" s="19"/>
    </row>
    <row r="57" spans="1:16" ht="15.5" x14ac:dyDescent="0.35">
      <c r="A57" s="37"/>
      <c r="B57" s="37"/>
      <c r="C57" s="7"/>
      <c r="D57" s="36"/>
      <c r="F57" s="19" t="s">
        <v>110</v>
      </c>
      <c r="G57" s="19"/>
      <c r="H57">
        <v>0.68177299999999996</v>
      </c>
    </row>
    <row r="58" spans="1:16" x14ac:dyDescent="0.35">
      <c r="A58" s="37"/>
      <c r="B58" s="37"/>
      <c r="C58" s="7"/>
      <c r="D58" s="59"/>
    </row>
    <row r="59" spans="1:16" ht="15.5" x14ac:dyDescent="0.35">
      <c r="D59" s="57"/>
      <c r="F59" s="19" t="s">
        <v>333</v>
      </c>
      <c r="G59" s="19"/>
      <c r="H59">
        <v>2605.366</v>
      </c>
    </row>
    <row r="60" spans="1:16" x14ac:dyDescent="0.35">
      <c r="D60" s="57"/>
    </row>
    <row r="61" spans="1:16" x14ac:dyDescent="0.35">
      <c r="D61" s="57"/>
    </row>
    <row r="62" spans="1:16" x14ac:dyDescent="0.35">
      <c r="D62" s="57"/>
    </row>
    <row r="63" spans="1:16" x14ac:dyDescent="0.35">
      <c r="D63" s="57"/>
    </row>
    <row r="64" spans="1:16" x14ac:dyDescent="0.35">
      <c r="D64" s="57"/>
    </row>
    <row r="65" spans="4:4" x14ac:dyDescent="0.35">
      <c r="D65" s="57"/>
    </row>
    <row r="66" spans="4:4" x14ac:dyDescent="0.35">
      <c r="D66" s="57"/>
    </row>
    <row r="67" spans="4:4" x14ac:dyDescent="0.35">
      <c r="D67" s="57"/>
    </row>
    <row r="68" spans="4:4" x14ac:dyDescent="0.35">
      <c r="D68" s="57"/>
    </row>
    <row r="69" spans="4:4" x14ac:dyDescent="0.35">
      <c r="D69" s="57"/>
    </row>
    <row r="70" spans="4:4" x14ac:dyDescent="0.35">
      <c r="D70" s="57"/>
    </row>
    <row r="71" spans="4:4" x14ac:dyDescent="0.35">
      <c r="D71" s="57"/>
    </row>
    <row r="72" spans="4:4" x14ac:dyDescent="0.35">
      <c r="D72" s="57"/>
    </row>
    <row r="73" spans="4:4" x14ac:dyDescent="0.35">
      <c r="D73" s="57"/>
    </row>
    <row r="74" spans="4:4" x14ac:dyDescent="0.35">
      <c r="D74" s="57"/>
    </row>
    <row r="75" spans="4:4" x14ac:dyDescent="0.35">
      <c r="D75" s="57"/>
    </row>
    <row r="76" spans="4:4" x14ac:dyDescent="0.35">
      <c r="D76" s="57"/>
    </row>
    <row r="77" spans="4:4" x14ac:dyDescent="0.35">
      <c r="D77" s="57"/>
    </row>
    <row r="78" spans="4:4" x14ac:dyDescent="0.35">
      <c r="D78" s="57"/>
    </row>
    <row r="79" spans="4:4" x14ac:dyDescent="0.35">
      <c r="D79" s="57"/>
    </row>
    <row r="80" spans="4:4" x14ac:dyDescent="0.35">
      <c r="D80" s="57"/>
    </row>
    <row r="81" spans="4:4" x14ac:dyDescent="0.35">
      <c r="D81" s="57"/>
    </row>
    <row r="82" spans="4:4" x14ac:dyDescent="0.35">
      <c r="D82" s="57"/>
    </row>
    <row r="83" spans="4:4" x14ac:dyDescent="0.35">
      <c r="D83" s="57"/>
    </row>
    <row r="84" spans="4:4" x14ac:dyDescent="0.35">
      <c r="D84" s="57"/>
    </row>
    <row r="85" spans="4:4" x14ac:dyDescent="0.35">
      <c r="D85" s="57"/>
    </row>
    <row r="86" spans="4:4" x14ac:dyDescent="0.35">
      <c r="D86" s="57"/>
    </row>
    <row r="87" spans="4:4" x14ac:dyDescent="0.35">
      <c r="D87" s="57"/>
    </row>
    <row r="88" spans="4:4" x14ac:dyDescent="0.35">
      <c r="D88" s="57"/>
    </row>
    <row r="89" spans="4:4" x14ac:dyDescent="0.35">
      <c r="D89" s="57"/>
    </row>
    <row r="90" spans="4:4" x14ac:dyDescent="0.35">
      <c r="D90" s="57"/>
    </row>
    <row r="91" spans="4:4" x14ac:dyDescent="0.35">
      <c r="D91" s="57"/>
    </row>
    <row r="92" spans="4:4" x14ac:dyDescent="0.35">
      <c r="D92" s="57"/>
    </row>
    <row r="93" spans="4:4" x14ac:dyDescent="0.35">
      <c r="D93" s="57"/>
    </row>
    <row r="94" spans="4:4" x14ac:dyDescent="0.35">
      <c r="D94" s="57"/>
    </row>
    <row r="95" spans="4:4" x14ac:dyDescent="0.35">
      <c r="D95" s="57"/>
    </row>
    <row r="96" spans="4:4" x14ac:dyDescent="0.35">
      <c r="D96" s="57"/>
    </row>
    <row r="97" spans="4:4" x14ac:dyDescent="0.35">
      <c r="D97" s="57"/>
    </row>
    <row r="98" spans="4:4" x14ac:dyDescent="0.35">
      <c r="D98" s="57"/>
    </row>
    <row r="99" spans="4:4" x14ac:dyDescent="0.35">
      <c r="D99" s="57"/>
    </row>
    <row r="100" spans="4:4" x14ac:dyDescent="0.35">
      <c r="D100" s="57"/>
    </row>
    <row r="101" spans="4:4" x14ac:dyDescent="0.35">
      <c r="D101" s="57"/>
    </row>
    <row r="102" spans="4:4" x14ac:dyDescent="0.35">
      <c r="D102" s="57"/>
    </row>
    <row r="103" spans="4:4" x14ac:dyDescent="0.35">
      <c r="D103" s="57"/>
    </row>
    <row r="104" spans="4:4" x14ac:dyDescent="0.35">
      <c r="D104" s="59"/>
    </row>
    <row r="105" spans="4:4" x14ac:dyDescent="0.35">
      <c r="D105" s="57"/>
    </row>
    <row r="106" spans="4:4" x14ac:dyDescent="0.35">
      <c r="D106" s="57"/>
    </row>
    <row r="107" spans="4:4" x14ac:dyDescent="0.35">
      <c r="D107" s="57"/>
    </row>
    <row r="108" spans="4:4" x14ac:dyDescent="0.35">
      <c r="D108" s="57"/>
    </row>
  </sheetData>
  <mergeCells count="1">
    <mergeCell ref="E1:F1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5988-3763-4C8D-8428-52F2EA9B040C}">
  <dimension ref="A1:C52"/>
  <sheetViews>
    <sheetView topLeftCell="A42" workbookViewId="0">
      <selection activeCell="R49" sqref="R49"/>
    </sheetView>
  </sheetViews>
  <sheetFormatPr defaultRowHeight="14.5" x14ac:dyDescent="0.35"/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 s="7">
        <f>'Persamaan 11'!C3</f>
        <v>6394</v>
      </c>
      <c r="C2">
        <f>'Persamaan 11'!O3</f>
        <v>5123.6209440000002</v>
      </c>
    </row>
    <row r="3" spans="1:3" x14ac:dyDescent="0.35">
      <c r="A3">
        <v>2000</v>
      </c>
      <c r="B3" s="7">
        <f>'Persamaan 11'!C4</f>
        <v>6442.5</v>
      </c>
      <c r="C3">
        <f>'Persamaan 11'!O4</f>
        <v>5161.1324855000003</v>
      </c>
    </row>
    <row r="4" spans="1:3" x14ac:dyDescent="0.35">
      <c r="A4">
        <v>2001</v>
      </c>
      <c r="B4" s="7">
        <f>'Persamaan 11'!C5</f>
        <v>6491</v>
      </c>
      <c r="C4">
        <f>'Persamaan 11'!O5</f>
        <v>5198.1139640000001</v>
      </c>
    </row>
    <row r="5" spans="1:3" x14ac:dyDescent="0.35">
      <c r="A5">
        <v>2001</v>
      </c>
      <c r="B5" s="7">
        <f>'Persamaan 11'!C6</f>
        <v>6530.5</v>
      </c>
      <c r="C5">
        <f>'Persamaan 11'!O6</f>
        <v>5243.8497155000005</v>
      </c>
    </row>
    <row r="6" spans="1:3" x14ac:dyDescent="0.35">
      <c r="A6">
        <v>2002</v>
      </c>
      <c r="B6" s="7">
        <f>'Persamaan 11'!C7</f>
        <v>6570</v>
      </c>
      <c r="C6">
        <f>'Persamaan 11'!O7</f>
        <v>5288.9776039999997</v>
      </c>
    </row>
    <row r="7" spans="1:3" x14ac:dyDescent="0.35">
      <c r="A7">
        <v>2002</v>
      </c>
      <c r="B7" s="7">
        <f>'Persamaan 11'!C8</f>
        <v>6603.5</v>
      </c>
      <c r="C7">
        <f>'Persamaan 11'!O8</f>
        <v>5289.7083645000002</v>
      </c>
    </row>
    <row r="8" spans="1:3" x14ac:dyDescent="0.35">
      <c r="A8">
        <v>2003</v>
      </c>
      <c r="B8" s="7">
        <f>'Persamaan 11'!C9</f>
        <v>6637</v>
      </c>
      <c r="C8">
        <f>'Persamaan 11'!O9</f>
        <v>5289.8973919999999</v>
      </c>
    </row>
    <row r="9" spans="1:3" x14ac:dyDescent="0.35">
      <c r="A9">
        <v>2003</v>
      </c>
      <c r="B9" s="7">
        <f>'Persamaan 11'!C10</f>
        <v>6660</v>
      </c>
      <c r="C9">
        <f>'Persamaan 11'!O10</f>
        <v>5335.6373894999997</v>
      </c>
    </row>
    <row r="10" spans="1:3" x14ac:dyDescent="0.35">
      <c r="A10">
        <v>2004</v>
      </c>
      <c r="B10" s="7">
        <f>'Persamaan 11'!C11</f>
        <v>6683</v>
      </c>
      <c r="C10">
        <f>'Persamaan 11'!O11</f>
        <v>5380.8998389999997</v>
      </c>
    </row>
    <row r="11" spans="1:3" x14ac:dyDescent="0.35">
      <c r="A11">
        <v>2004</v>
      </c>
      <c r="B11" s="7">
        <f>'Persamaan 11'!C12</f>
        <v>6727.5</v>
      </c>
      <c r="C11">
        <f>'Persamaan 11'!O12</f>
        <v>5460.5180984999997</v>
      </c>
    </row>
    <row r="12" spans="1:3" x14ac:dyDescent="0.35">
      <c r="A12">
        <v>2005</v>
      </c>
      <c r="B12" s="7">
        <f>'Persamaan 11'!C13</f>
        <v>6772</v>
      </c>
      <c r="C12">
        <f>'Persamaan 11'!O13</f>
        <v>5539.5907349999998</v>
      </c>
    </row>
    <row r="13" spans="1:3" x14ac:dyDescent="0.35">
      <c r="A13">
        <v>2005</v>
      </c>
      <c r="B13" s="7">
        <f>'Persamaan 11'!C14</f>
        <v>6822.5</v>
      </c>
      <c r="C13">
        <f>'Persamaan 11'!O14</f>
        <v>5633.1171214999995</v>
      </c>
    </row>
    <row r="14" spans="1:3" x14ac:dyDescent="0.35">
      <c r="A14">
        <v>2006</v>
      </c>
      <c r="B14" s="7">
        <f>'Persamaan 11'!C15</f>
        <v>6873</v>
      </c>
      <c r="C14">
        <f>'Persamaan 11'!O15</f>
        <v>5726.2262549999996</v>
      </c>
    </row>
    <row r="15" spans="1:3" x14ac:dyDescent="0.35">
      <c r="A15">
        <v>2006</v>
      </c>
      <c r="B15" s="7">
        <f>'Persamaan 11'!C16</f>
        <v>6949.5</v>
      </c>
      <c r="C15">
        <f>'Persamaan 11'!O16</f>
        <v>5767.5153399999999</v>
      </c>
    </row>
    <row r="16" spans="1:3" x14ac:dyDescent="0.35">
      <c r="A16">
        <v>2007</v>
      </c>
      <c r="B16" s="7">
        <f>'Persamaan 11'!C17</f>
        <v>7026</v>
      </c>
      <c r="C16">
        <f>'Persamaan 11'!O17</f>
        <v>5808.1596069999996</v>
      </c>
    </row>
    <row r="17" spans="1:3" x14ac:dyDescent="0.35">
      <c r="A17">
        <v>2007</v>
      </c>
      <c r="B17" s="7">
        <f>'Persamaan 11'!C18</f>
        <v>7172</v>
      </c>
      <c r="C17">
        <f>'Persamaan 11'!O18</f>
        <v>6054.1525139999994</v>
      </c>
    </row>
    <row r="18" spans="1:3" x14ac:dyDescent="0.35">
      <c r="A18">
        <v>2008</v>
      </c>
      <c r="B18" s="7">
        <f>'Persamaan 11'!C19</f>
        <v>7318</v>
      </c>
      <c r="C18">
        <f>'Persamaan 11'!O19</f>
        <v>6299.7164979999998</v>
      </c>
    </row>
    <row r="19" spans="1:3" x14ac:dyDescent="0.35">
      <c r="A19">
        <v>2008</v>
      </c>
      <c r="B19" s="7">
        <f>'Persamaan 11'!C20</f>
        <v>7334.5</v>
      </c>
      <c r="C19">
        <f>'Persamaan 11'!O20</f>
        <v>6305.9294170000003</v>
      </c>
    </row>
    <row r="20" spans="1:3" x14ac:dyDescent="0.35">
      <c r="A20">
        <v>2009</v>
      </c>
      <c r="B20" s="7">
        <f>'Persamaan 11'!C21</f>
        <v>7351</v>
      </c>
      <c r="C20">
        <f>'Persamaan 11'!O21</f>
        <v>6311.6297779999995</v>
      </c>
    </row>
    <row r="21" spans="1:3" x14ac:dyDescent="0.35">
      <c r="A21">
        <v>2009</v>
      </c>
      <c r="B21" s="7">
        <f>'Persamaan 11'!C22</f>
        <v>7371</v>
      </c>
      <c r="C21">
        <f>'Persamaan 11'!O22</f>
        <v>6204.2266519999994</v>
      </c>
    </row>
    <row r="22" spans="1:3" x14ac:dyDescent="0.35">
      <c r="A22">
        <v>2010</v>
      </c>
      <c r="B22" s="7">
        <f>'Persamaan 11'!C23</f>
        <v>7391</v>
      </c>
      <c r="C22">
        <f>'Persamaan 11'!O23</f>
        <v>6096.2467829999996</v>
      </c>
    </row>
    <row r="23" spans="1:3" x14ac:dyDescent="0.35">
      <c r="A23">
        <v>2010</v>
      </c>
      <c r="B23" s="7">
        <f>'Persamaan 11'!C24</f>
        <v>7640.5</v>
      </c>
      <c r="C23">
        <f>'Persamaan 11'!O24</f>
        <v>6408.5455449999999</v>
      </c>
    </row>
    <row r="24" spans="1:3" x14ac:dyDescent="0.35">
      <c r="A24">
        <v>2011</v>
      </c>
      <c r="B24" s="7">
        <f>'Persamaan 11'!C25</f>
        <v>7890</v>
      </c>
      <c r="C24">
        <f>'Persamaan 11'!O25</f>
        <v>6720.3434189999998</v>
      </c>
    </row>
    <row r="25" spans="1:3" x14ac:dyDescent="0.35">
      <c r="A25">
        <v>2011</v>
      </c>
      <c r="B25" s="7">
        <f>'Persamaan 11'!C26</f>
        <v>8266.5</v>
      </c>
      <c r="C25">
        <f>'Persamaan 11'!O26</f>
        <v>7055.8731344999997</v>
      </c>
    </row>
    <row r="26" spans="1:3" x14ac:dyDescent="0.35">
      <c r="A26">
        <v>2012</v>
      </c>
      <c r="B26" s="7">
        <f>'Persamaan 11'!C27</f>
        <v>8643</v>
      </c>
      <c r="C26">
        <f>'Persamaan 11'!O27</f>
        <v>7391.8919669999996</v>
      </c>
    </row>
    <row r="27" spans="1:3" x14ac:dyDescent="0.35">
      <c r="A27">
        <v>2012</v>
      </c>
      <c r="B27" s="7">
        <f>'Persamaan 11'!C28</f>
        <v>8792</v>
      </c>
      <c r="C27">
        <f>'Persamaan 11'!O28</f>
        <v>7640.490135</v>
      </c>
    </row>
    <row r="28" spans="1:3" x14ac:dyDescent="0.35">
      <c r="A28">
        <v>2013</v>
      </c>
      <c r="B28" s="7">
        <f>'Persamaan 11'!C29</f>
        <v>8941</v>
      </c>
      <c r="C28">
        <f>'Persamaan 11'!O29</f>
        <v>7908.0043499999992</v>
      </c>
    </row>
    <row r="29" spans="1:3" x14ac:dyDescent="0.35">
      <c r="A29">
        <v>2013</v>
      </c>
      <c r="B29" s="7">
        <f>'Persamaan 11'!C30</f>
        <v>9289.5</v>
      </c>
      <c r="C29">
        <f>'Persamaan 11'!O30</f>
        <v>8330.5297739999987</v>
      </c>
    </row>
    <row r="30" spans="1:3" x14ac:dyDescent="0.35">
      <c r="A30">
        <v>2014</v>
      </c>
      <c r="B30" s="7">
        <f>'Persamaan 11'!C31</f>
        <v>9638</v>
      </c>
      <c r="C30">
        <f>'Persamaan 11'!O31</f>
        <v>8756.7671799999989</v>
      </c>
    </row>
    <row r="31" spans="1:3" x14ac:dyDescent="0.35">
      <c r="A31">
        <v>2014</v>
      </c>
      <c r="B31" s="7">
        <f>'Persamaan 11'!C32</f>
        <v>10276.5</v>
      </c>
      <c r="C31">
        <f>'Persamaan 11'!O32</f>
        <v>9585.3809490000003</v>
      </c>
    </row>
    <row r="32" spans="1:3" x14ac:dyDescent="0.35">
      <c r="A32">
        <v>2015</v>
      </c>
      <c r="B32" s="7">
        <f>'Persamaan 11'!C33</f>
        <v>10915</v>
      </c>
      <c r="C32">
        <f>'Persamaan 11'!O33</f>
        <v>10442.303169999999</v>
      </c>
    </row>
    <row r="33" spans="1:3" x14ac:dyDescent="0.35">
      <c r="A33">
        <v>2015</v>
      </c>
      <c r="B33" s="7">
        <f>'Persamaan 11'!C34</f>
        <v>11213</v>
      </c>
      <c r="C33">
        <f>'Persamaan 11'!O34</f>
        <v>10394.085364999999</v>
      </c>
    </row>
    <row r="34" spans="1:3" x14ac:dyDescent="0.35">
      <c r="A34">
        <v>2016</v>
      </c>
      <c r="B34" s="7">
        <f>'Persamaan 11'!C35</f>
        <v>11511</v>
      </c>
      <c r="C34">
        <f>'Persamaan 11'!O35</f>
        <v>10349.375317</v>
      </c>
    </row>
    <row r="35" spans="1:3" x14ac:dyDescent="0.35">
      <c r="A35">
        <v>2016</v>
      </c>
      <c r="B35" s="7">
        <f>'Persamaan 11'!C36</f>
        <v>11523</v>
      </c>
      <c r="C35">
        <f>'Persamaan 11'!O36</f>
        <v>10273.630909</v>
      </c>
    </row>
    <row r="36" spans="1:3" x14ac:dyDescent="0.35">
      <c r="A36">
        <v>2017</v>
      </c>
      <c r="B36" s="7">
        <f>'Persamaan 11'!C37</f>
        <v>11535</v>
      </c>
      <c r="C36">
        <f>'Persamaan 11'!O37</f>
        <v>10197.422568</v>
      </c>
    </row>
    <row r="37" spans="1:3" x14ac:dyDescent="0.35">
      <c r="A37">
        <v>2017</v>
      </c>
      <c r="B37" s="7">
        <f>'Persamaan 11'!C38</f>
        <v>11794.5</v>
      </c>
      <c r="C37">
        <f>'Persamaan 11'!O38</f>
        <v>10530.440365</v>
      </c>
    </row>
    <row r="38" spans="1:3" x14ac:dyDescent="0.35">
      <c r="A38">
        <v>2018</v>
      </c>
      <c r="B38" s="7">
        <f>'Persamaan 11'!C39</f>
        <v>12054</v>
      </c>
      <c r="C38">
        <f>'Persamaan 11'!O39</f>
        <v>10864.591073999998</v>
      </c>
    </row>
    <row r="39" spans="1:3" x14ac:dyDescent="0.35">
      <c r="A39">
        <v>2018</v>
      </c>
      <c r="B39" s="7">
        <f>'Persamaan 11'!C40</f>
        <v>12072.5</v>
      </c>
      <c r="C39">
        <f>'Persamaan 11'!O40</f>
        <v>10811.7911855</v>
      </c>
    </row>
    <row r="40" spans="1:3" x14ac:dyDescent="0.35">
      <c r="A40">
        <v>2019</v>
      </c>
      <c r="B40" s="7">
        <f>'Persamaan 11'!C41</f>
        <v>12091</v>
      </c>
      <c r="C40">
        <f>'Persamaan 11'!O41</f>
        <v>10757.181423999999</v>
      </c>
    </row>
    <row r="41" spans="1:3" x14ac:dyDescent="0.35">
      <c r="A41">
        <v>2019</v>
      </c>
      <c r="B41" s="7">
        <f>'Persamaan 11'!C42</f>
        <v>12201</v>
      </c>
      <c r="C41">
        <f>'Persamaan 11'!O42</f>
        <v>11006.938679999999</v>
      </c>
    </row>
    <row r="42" spans="1:3" x14ac:dyDescent="0.35">
      <c r="A42">
        <v>2020</v>
      </c>
      <c r="B42" s="7">
        <f>'Persamaan 11'!C43</f>
        <v>12311</v>
      </c>
      <c r="C42">
        <f>'Persamaan 11'!O43</f>
        <v>11257.601283</v>
      </c>
    </row>
    <row r="43" spans="1:3" x14ac:dyDescent="0.35">
      <c r="A43">
        <v>2020</v>
      </c>
      <c r="B43" s="7">
        <f>'Persamaan 11'!C44</f>
        <v>12256</v>
      </c>
      <c r="C43">
        <f>'Persamaan 11'!O44</f>
        <v>9325.293619</v>
      </c>
    </row>
    <row r="44" spans="1:3" x14ac:dyDescent="0.35">
      <c r="A44">
        <v>2021</v>
      </c>
      <c r="B44" s="7">
        <f>'Persamaan 11'!C45</f>
        <v>12321.833914053401</v>
      </c>
      <c r="C44">
        <f>'Persamaan 11'!O45</f>
        <v>11475.505242197201</v>
      </c>
    </row>
    <row r="45" spans="1:3" x14ac:dyDescent="0.35">
      <c r="A45">
        <v>2021</v>
      </c>
      <c r="B45" s="7">
        <f>'Persamaan 11'!C46</f>
        <v>12490.763619912001</v>
      </c>
      <c r="C45">
        <f>'Persamaan 11'!O46</f>
        <v>11686.32516798552</v>
      </c>
    </row>
    <row r="46" spans="1:3" x14ac:dyDescent="0.35">
      <c r="A46">
        <v>2022</v>
      </c>
      <c r="B46" s="7">
        <f>'Persamaan 11'!C47</f>
        <v>12659.6933257705</v>
      </c>
      <c r="C46">
        <f>'Persamaan 11'!O47</f>
        <v>11898.179410378851</v>
      </c>
    </row>
    <row r="47" spans="1:3" x14ac:dyDescent="0.35">
      <c r="A47">
        <v>2022</v>
      </c>
      <c r="B47" s="7">
        <f>'Persamaan 11'!C48</f>
        <v>12828.623031629</v>
      </c>
      <c r="C47">
        <f>'Persamaan 11'!O48</f>
        <v>12112.431515377204</v>
      </c>
    </row>
    <row r="48" spans="1:3" x14ac:dyDescent="0.35">
      <c r="A48">
        <v>2023</v>
      </c>
      <c r="B48" s="7">
        <f>'Persamaan 11'!C49</f>
        <v>12997.5527374875</v>
      </c>
    </row>
    <row r="49" spans="1:2" x14ac:dyDescent="0.35">
      <c r="A49">
        <v>2024</v>
      </c>
      <c r="B49" s="7">
        <f>'Persamaan 11'!C50</f>
        <v>13166.482443346</v>
      </c>
    </row>
    <row r="50" spans="1:2" x14ac:dyDescent="0.35">
      <c r="A50">
        <v>2025</v>
      </c>
      <c r="B50" s="7">
        <f>'Persamaan 11'!C51</f>
        <v>13335.4121492046</v>
      </c>
    </row>
    <row r="51" spans="1:2" x14ac:dyDescent="0.35">
      <c r="A51">
        <v>2026</v>
      </c>
      <c r="B51" s="7">
        <f>'Persamaan 11'!C52</f>
        <v>13504.3418550631</v>
      </c>
    </row>
    <row r="52" spans="1:2" x14ac:dyDescent="0.35">
      <c r="A52">
        <v>2027</v>
      </c>
      <c r="B52" s="7">
        <f>'Persamaan 11'!C53</f>
        <v>13673.271560921599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DB31F-C900-4E1F-9F53-3DCC2AC690B4}">
  <dimension ref="A1:L17"/>
  <sheetViews>
    <sheetView topLeftCell="A15" workbookViewId="0">
      <selection activeCell="A17" sqref="A17:F17"/>
    </sheetView>
  </sheetViews>
  <sheetFormatPr defaultRowHeight="14.5" x14ac:dyDescent="0.35"/>
  <cols>
    <col min="1" max="1" width="13.81640625" bestFit="1" customWidth="1"/>
    <col min="2" max="2" width="13.26953125" customWidth="1"/>
    <col min="6" max="6" width="11" customWidth="1"/>
    <col min="7" max="7" width="11.26953125" bestFit="1" customWidth="1"/>
    <col min="8" max="8" width="12.90625" bestFit="1" customWidth="1"/>
    <col min="9" max="11" width="11.81640625" bestFit="1" customWidth="1"/>
    <col min="12" max="12" width="9.26953125" bestFit="1" customWidth="1"/>
  </cols>
  <sheetData>
    <row r="1" spans="1:12" ht="31.5" thickBot="1" x14ac:dyDescent="0.4">
      <c r="A1" s="70" t="s">
        <v>441</v>
      </c>
      <c r="B1" s="71" t="s">
        <v>442</v>
      </c>
    </row>
    <row r="2" spans="1:12" ht="15.5" x14ac:dyDescent="0.35">
      <c r="A2" t="s">
        <v>104</v>
      </c>
      <c r="B2">
        <v>3.8899999999999997E-5</v>
      </c>
      <c r="F2" s="78" t="s">
        <v>108</v>
      </c>
      <c r="G2" t="s">
        <v>104</v>
      </c>
      <c r="H2" t="s">
        <v>103</v>
      </c>
      <c r="I2" t="s">
        <v>67</v>
      </c>
      <c r="J2" t="s">
        <v>109</v>
      </c>
      <c r="K2" t="s">
        <v>110</v>
      </c>
      <c r="L2" s="77"/>
    </row>
    <row r="3" spans="1:12" ht="14.5" customHeight="1" x14ac:dyDescent="0.35">
      <c r="A3" t="s">
        <v>103</v>
      </c>
      <c r="B3">
        <v>-1.1339680000000001</v>
      </c>
      <c r="E3" t="s">
        <v>459</v>
      </c>
      <c r="F3" s="11">
        <f>AVERAGE('Persamaan 11'!$C$3:$C$48)</f>
        <v>9027.70464981228</v>
      </c>
      <c r="G3" s="11">
        <f>AVERAGE('Persamaan 11'!G3:G48)</f>
        <v>53012683.25625632</v>
      </c>
      <c r="H3" s="11">
        <f>AVERAGE('Persamaan 11'!H3:H48)</f>
        <v>311.96552143262295</v>
      </c>
      <c r="I3" s="11">
        <f>AVERAGE('Persamaan 11'!I3:I48)</f>
        <v>4064.9347826086955</v>
      </c>
      <c r="J3" s="11">
        <f>AVERAGE('Persamaan 11'!J3:J48)</f>
        <v>2011</v>
      </c>
      <c r="K3" s="11">
        <f>AVERAGE('Persamaan 11'!K3:K48)</f>
        <v>7016.70464981228</v>
      </c>
    </row>
    <row r="4" spans="1:12" ht="42" customHeight="1" x14ac:dyDescent="0.35">
      <c r="A4" t="s">
        <v>67</v>
      </c>
      <c r="B4">
        <v>-0.30370999999999998</v>
      </c>
      <c r="E4" s="80" t="s">
        <v>460</v>
      </c>
      <c r="G4">
        <f>G3/$F$3</f>
        <v>5872.2217122332031</v>
      </c>
      <c r="H4">
        <f t="shared" ref="H4:K4" si="0">H3/$F$3</f>
        <v>3.4556460754297039E-2</v>
      </c>
      <c r="I4">
        <f t="shared" si="0"/>
        <v>0.45027334635866945</v>
      </c>
      <c r="J4">
        <f t="shared" si="0"/>
        <v>0.2227587274957889</v>
      </c>
      <c r="K4">
        <f t="shared" si="0"/>
        <v>0.77724127250421116</v>
      </c>
    </row>
    <row r="5" spans="1:12" x14ac:dyDescent="0.35">
      <c r="A5" t="s">
        <v>109</v>
      </c>
      <c r="E5" t="s">
        <v>461</v>
      </c>
      <c r="G5">
        <v>3.8899999999999997E-5</v>
      </c>
      <c r="H5">
        <v>-1.1339680000000001</v>
      </c>
      <c r="I5">
        <v>-0.30370999999999998</v>
      </c>
      <c r="K5">
        <v>0.68177299999999996</v>
      </c>
    </row>
    <row r="6" spans="1:12" x14ac:dyDescent="0.35">
      <c r="A6" t="s">
        <v>110</v>
      </c>
      <c r="B6">
        <v>0.68177299999999996</v>
      </c>
      <c r="E6" t="s">
        <v>462</v>
      </c>
      <c r="G6">
        <f>G5*G4</f>
        <v>0.22842942460587159</v>
      </c>
      <c r="H6">
        <f t="shared" ref="H6:J6" si="1">H5*H4</f>
        <v>-3.9185920688628709E-2</v>
      </c>
      <c r="I6">
        <f t="shared" si="1"/>
        <v>-0.1367525180225915</v>
      </c>
      <c r="J6">
        <f t="shared" si="1"/>
        <v>0</v>
      </c>
    </row>
    <row r="7" spans="1:12" ht="14.5" customHeight="1" x14ac:dyDescent="0.35">
      <c r="A7" t="s">
        <v>333</v>
      </c>
      <c r="B7">
        <v>2605.366</v>
      </c>
      <c r="E7" t="s">
        <v>463</v>
      </c>
      <c r="G7">
        <f>G6/(1-$K$5)</f>
        <v>0.71781911844649127</v>
      </c>
      <c r="H7">
        <f t="shared" ref="H7:I7" si="2">H6/(1-$K$5)</f>
        <v>-0.12313826510204572</v>
      </c>
      <c r="I7">
        <f t="shared" si="2"/>
        <v>-0.42973260604094399</v>
      </c>
      <c r="J7">
        <f>J6/(1-$K$5)</f>
        <v>0</v>
      </c>
    </row>
    <row r="8" spans="1:12" ht="14.5" customHeight="1" x14ac:dyDescent="0.35"/>
    <row r="10" spans="1:12" ht="31" customHeight="1" x14ac:dyDescent="0.35">
      <c r="A10" s="122" t="s">
        <v>441</v>
      </c>
      <c r="B10" s="122" t="s">
        <v>442</v>
      </c>
      <c r="C10" s="124" t="s">
        <v>443</v>
      </c>
      <c r="D10" s="121" t="s">
        <v>625</v>
      </c>
      <c r="E10" s="121"/>
      <c r="F10" s="128" t="s">
        <v>444</v>
      </c>
      <c r="G10" s="87"/>
    </row>
    <row r="11" spans="1:12" ht="15.5" x14ac:dyDescent="0.35">
      <c r="A11" s="123"/>
      <c r="B11" s="123"/>
      <c r="C11" s="125"/>
      <c r="D11" s="95" t="s">
        <v>626</v>
      </c>
      <c r="E11" s="94" t="s">
        <v>627</v>
      </c>
      <c r="F11" s="129"/>
      <c r="G11" s="87"/>
    </row>
    <row r="12" spans="1:12" ht="124" x14ac:dyDescent="0.35">
      <c r="A12" s="85" t="s">
        <v>171</v>
      </c>
      <c r="B12" s="85" t="s">
        <v>607</v>
      </c>
      <c r="C12" s="86" t="s">
        <v>475</v>
      </c>
      <c r="D12" s="72">
        <v>0.22842942460587159</v>
      </c>
      <c r="E12" s="72">
        <v>0.71781911844649127</v>
      </c>
      <c r="F12" s="88" t="s">
        <v>580</v>
      </c>
      <c r="G12" s="87"/>
    </row>
    <row r="13" spans="1:12" ht="78.5" customHeight="1" x14ac:dyDescent="0.35">
      <c r="A13" s="88" t="s">
        <v>103</v>
      </c>
      <c r="B13" s="93">
        <v>-1133</v>
      </c>
      <c r="C13" s="88" t="s">
        <v>608</v>
      </c>
      <c r="D13" s="72">
        <v>-3.9185920688628709E-2</v>
      </c>
      <c r="E13" s="72">
        <v>-0.12313826510204572</v>
      </c>
      <c r="F13" s="88" t="s">
        <v>584</v>
      </c>
      <c r="G13" s="87"/>
    </row>
    <row r="14" spans="1:12" ht="77.5" x14ac:dyDescent="0.35">
      <c r="A14" s="88" t="s">
        <v>67</v>
      </c>
      <c r="B14" s="88" t="s">
        <v>609</v>
      </c>
      <c r="C14" s="88" t="s">
        <v>610</v>
      </c>
      <c r="D14" s="72">
        <v>-0.1367525180225915</v>
      </c>
      <c r="E14" s="72">
        <v>-0.42973260604094399</v>
      </c>
      <c r="F14" s="88" t="s">
        <v>633</v>
      </c>
      <c r="G14" s="87"/>
    </row>
    <row r="15" spans="1:12" ht="170.5" x14ac:dyDescent="0.35">
      <c r="A15" s="88" t="s">
        <v>611</v>
      </c>
      <c r="B15" s="88" t="s">
        <v>612</v>
      </c>
      <c r="C15" s="88" t="s">
        <v>613</v>
      </c>
      <c r="D15" s="72"/>
      <c r="E15" s="72"/>
      <c r="F15" s="88" t="s">
        <v>634</v>
      </c>
      <c r="G15" s="87"/>
    </row>
    <row r="16" spans="1:12" ht="15.5" x14ac:dyDescent="0.35">
      <c r="A16" s="85" t="s">
        <v>456</v>
      </c>
      <c r="B16" s="97">
        <v>2605.366</v>
      </c>
      <c r="C16" s="98" t="s">
        <v>613</v>
      </c>
      <c r="D16" s="98"/>
      <c r="E16" s="88"/>
      <c r="F16" s="88"/>
      <c r="G16" s="87"/>
    </row>
    <row r="17" spans="1:7" ht="31" customHeight="1" x14ac:dyDescent="0.35">
      <c r="A17" s="120" t="s">
        <v>614</v>
      </c>
      <c r="B17" s="120"/>
      <c r="C17" s="120"/>
      <c r="D17" s="120"/>
      <c r="E17" s="120"/>
      <c r="F17" s="120"/>
      <c r="G17" s="87"/>
    </row>
  </sheetData>
  <mergeCells count="6">
    <mergeCell ref="A17:F17"/>
    <mergeCell ref="D10:E10"/>
    <mergeCell ref="A10:A11"/>
    <mergeCell ref="B10:B11"/>
    <mergeCell ref="C10:C11"/>
    <mergeCell ref="F10:F1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60"/>
  <sheetViews>
    <sheetView topLeftCell="A32" workbookViewId="0">
      <selection activeCell="L54" sqref="L54:M60"/>
    </sheetView>
  </sheetViews>
  <sheetFormatPr defaultRowHeight="14.5" x14ac:dyDescent="0.35"/>
  <cols>
    <col min="8" max="8" width="10.1796875" bestFit="1" customWidth="1"/>
    <col min="12" max="12" width="10.7265625" bestFit="1" customWidth="1"/>
    <col min="19" max="19" width="15.54296875" customWidth="1"/>
  </cols>
  <sheetData>
    <row r="1" spans="1:19" x14ac:dyDescent="0.35">
      <c r="C1" t="s">
        <v>128</v>
      </c>
      <c r="F1" s="108" t="s">
        <v>129</v>
      </c>
      <c r="G1" s="108"/>
      <c r="H1" s="9"/>
      <c r="I1" s="108" t="s">
        <v>131</v>
      </c>
      <c r="J1" s="108"/>
      <c r="K1" s="9"/>
      <c r="L1" t="s">
        <v>132</v>
      </c>
      <c r="M1" t="s">
        <v>133</v>
      </c>
      <c r="N1" t="s">
        <v>134</v>
      </c>
    </row>
    <row r="2" spans="1:19" x14ac:dyDescent="0.35">
      <c r="F2" t="s">
        <v>67</v>
      </c>
      <c r="G2" t="s">
        <v>82</v>
      </c>
      <c r="I2" t="s">
        <v>68</v>
      </c>
      <c r="J2" t="s">
        <v>130</v>
      </c>
      <c r="Q2" t="s">
        <v>334</v>
      </c>
      <c r="R2" t="s">
        <v>335</v>
      </c>
    </row>
    <row r="3" spans="1:19" x14ac:dyDescent="0.35">
      <c r="A3">
        <v>2000</v>
      </c>
      <c r="B3">
        <v>1</v>
      </c>
      <c r="C3" s="7">
        <v>11778.637000000001</v>
      </c>
      <c r="D3" s="7"/>
      <c r="E3" s="7"/>
      <c r="F3" s="7">
        <v>1890</v>
      </c>
      <c r="G3" s="6">
        <v>31.33</v>
      </c>
      <c r="H3" s="6">
        <v>59213.7</v>
      </c>
      <c r="I3">
        <v>1050</v>
      </c>
      <c r="J3" s="7">
        <v>129</v>
      </c>
      <c r="K3" s="7">
        <v>135450</v>
      </c>
      <c r="L3" s="29">
        <v>1816.3019999999999</v>
      </c>
      <c r="M3" s="7">
        <v>22000</v>
      </c>
      <c r="N3" s="7">
        <v>258531</v>
      </c>
      <c r="Q3" s="7">
        <v>11778.637000000001</v>
      </c>
      <c r="R3">
        <v>12898.04861231</v>
      </c>
      <c r="S3" s="7">
        <v>-1119.4116123099993</v>
      </c>
    </row>
    <row r="4" spans="1:19" x14ac:dyDescent="0.35">
      <c r="B4">
        <v>2</v>
      </c>
      <c r="C4" s="7">
        <v>11967.047</v>
      </c>
      <c r="D4" s="36">
        <v>1.5995908524899769E-2</v>
      </c>
      <c r="E4" s="7"/>
      <c r="F4" s="7">
        <v>1984.5</v>
      </c>
      <c r="G4" s="6">
        <v>33.465000000000003</v>
      </c>
      <c r="H4" s="6">
        <v>66411.29250000001</v>
      </c>
      <c r="I4">
        <v>1075</v>
      </c>
      <c r="J4" s="7">
        <v>128</v>
      </c>
      <c r="K4" s="7">
        <v>137600</v>
      </c>
      <c r="L4" s="29">
        <v>1843.425</v>
      </c>
      <c r="M4" s="7">
        <v>22750</v>
      </c>
      <c r="N4" s="7">
        <v>261169</v>
      </c>
      <c r="Q4" s="7">
        <v>11967.047</v>
      </c>
      <c r="R4">
        <v>12934.435327564999</v>
      </c>
      <c r="S4" s="7">
        <v>-967.38832756499869</v>
      </c>
    </row>
    <row r="5" spans="1:19" x14ac:dyDescent="0.35">
      <c r="A5">
        <v>2001</v>
      </c>
      <c r="B5">
        <v>1</v>
      </c>
      <c r="C5" s="7">
        <v>12155.457</v>
      </c>
      <c r="D5" s="36">
        <v>1.5744067855670646E-2</v>
      </c>
      <c r="E5" s="7"/>
      <c r="F5" s="7">
        <v>2079</v>
      </c>
      <c r="G5" s="6">
        <v>35.6</v>
      </c>
      <c r="H5" s="6">
        <v>74012.400000000009</v>
      </c>
      <c r="I5">
        <v>1100</v>
      </c>
      <c r="J5" s="7">
        <v>127</v>
      </c>
      <c r="K5" s="7">
        <v>139700</v>
      </c>
      <c r="L5" s="29">
        <v>1870.548</v>
      </c>
      <c r="M5" s="7">
        <v>23500</v>
      </c>
      <c r="N5" s="7">
        <v>263807</v>
      </c>
      <c r="Q5" s="7">
        <v>12155.457</v>
      </c>
      <c r="R5">
        <v>12963.524840739999</v>
      </c>
      <c r="S5" s="7">
        <v>-808.06784073999916</v>
      </c>
    </row>
    <row r="6" spans="1:19" x14ac:dyDescent="0.35">
      <c r="B6">
        <v>2</v>
      </c>
      <c r="C6" s="7">
        <v>12356.373500000002</v>
      </c>
      <c r="D6" s="36">
        <v>1.6528913721631459E-2</v>
      </c>
      <c r="E6" s="7"/>
      <c r="F6" s="7">
        <v>2146.5</v>
      </c>
      <c r="G6" s="6">
        <v>37.19</v>
      </c>
      <c r="H6" s="6">
        <v>79828.334999999992</v>
      </c>
      <c r="I6">
        <v>1125</v>
      </c>
      <c r="J6" s="7">
        <v>128</v>
      </c>
      <c r="K6" s="7">
        <v>144000</v>
      </c>
      <c r="L6" s="29">
        <v>1900.4690000000001</v>
      </c>
      <c r="M6" s="7">
        <v>24250</v>
      </c>
      <c r="N6" s="7">
        <v>264403</v>
      </c>
      <c r="Q6" s="7">
        <v>12356.373500000002</v>
      </c>
      <c r="R6">
        <v>13023.896530624999</v>
      </c>
      <c r="S6" s="7">
        <v>-667.52303062499777</v>
      </c>
    </row>
    <row r="7" spans="1:19" x14ac:dyDescent="0.35">
      <c r="A7">
        <v>2002</v>
      </c>
      <c r="B7">
        <v>1</v>
      </c>
      <c r="C7" s="7">
        <v>12557.29</v>
      </c>
      <c r="D7" s="36">
        <v>1.6260151087210122E-2</v>
      </c>
      <c r="E7" s="7"/>
      <c r="F7" s="7">
        <v>2214</v>
      </c>
      <c r="G7" s="6">
        <v>38.78</v>
      </c>
      <c r="H7" s="6">
        <v>85858.92</v>
      </c>
      <c r="I7">
        <v>1150</v>
      </c>
      <c r="J7" s="7">
        <v>129</v>
      </c>
      <c r="K7" s="7">
        <v>148350</v>
      </c>
      <c r="L7" s="29">
        <v>1930.39</v>
      </c>
      <c r="M7" s="7">
        <v>25000</v>
      </c>
      <c r="N7" s="7">
        <v>264999</v>
      </c>
      <c r="Q7" s="7">
        <v>12557.29</v>
      </c>
      <c r="R7">
        <v>13081.25937571</v>
      </c>
      <c r="S7" s="7">
        <v>-523.96937570999944</v>
      </c>
    </row>
    <row r="8" spans="1:19" x14ac:dyDescent="0.35">
      <c r="B8">
        <v>2</v>
      </c>
      <c r="C8" s="7">
        <v>12731.517500000002</v>
      </c>
      <c r="D8" s="36">
        <v>1.3874609887961563E-2</v>
      </c>
      <c r="E8" s="7"/>
      <c r="F8" s="7">
        <v>2366.5</v>
      </c>
      <c r="G8" s="6">
        <v>40.284999999999997</v>
      </c>
      <c r="H8" s="6">
        <v>95334.452499999985</v>
      </c>
      <c r="I8">
        <v>1175</v>
      </c>
      <c r="J8" s="7">
        <v>127.5</v>
      </c>
      <c r="K8" s="7">
        <v>149812.5</v>
      </c>
      <c r="L8" s="29">
        <v>1970.6065000000001</v>
      </c>
      <c r="M8" s="7">
        <v>26500</v>
      </c>
      <c r="N8" s="7">
        <v>266068</v>
      </c>
      <c r="Q8" s="7">
        <v>12731.517500000002</v>
      </c>
      <c r="R8">
        <v>13079.174562852499</v>
      </c>
      <c r="S8" s="7">
        <v>-347.65706285249689</v>
      </c>
    </row>
    <row r="9" spans="1:19" x14ac:dyDescent="0.35">
      <c r="A9">
        <v>2003</v>
      </c>
      <c r="B9">
        <v>1</v>
      </c>
      <c r="C9" s="7">
        <v>12905.745000000001</v>
      </c>
      <c r="D9" s="36">
        <v>1.3684739466446088E-2</v>
      </c>
      <c r="E9" s="7"/>
      <c r="F9" s="7">
        <v>2519</v>
      </c>
      <c r="G9" s="6">
        <v>41.79</v>
      </c>
      <c r="H9" s="6">
        <v>105269.01</v>
      </c>
      <c r="I9">
        <v>1200</v>
      </c>
      <c r="J9" s="7">
        <v>126</v>
      </c>
      <c r="K9" s="7">
        <v>151200</v>
      </c>
      <c r="L9" s="29">
        <v>2010.8230000000001</v>
      </c>
      <c r="M9" s="7">
        <v>28000</v>
      </c>
      <c r="N9" s="7">
        <v>267137</v>
      </c>
      <c r="Q9" s="7">
        <v>12905.745000000001</v>
      </c>
      <c r="R9">
        <v>13068.582185195</v>
      </c>
      <c r="S9" s="7">
        <v>-162.83718519499962</v>
      </c>
    </row>
    <row r="10" spans="1:19" x14ac:dyDescent="0.35">
      <c r="B10">
        <v>2</v>
      </c>
      <c r="C10" s="7">
        <v>13084.807000000001</v>
      </c>
      <c r="D10" s="36">
        <v>1.387459615853249E-2</v>
      </c>
      <c r="E10" s="7"/>
      <c r="F10" s="7">
        <v>2630</v>
      </c>
      <c r="G10" s="6">
        <v>44.64</v>
      </c>
      <c r="H10" s="6">
        <v>117403.2</v>
      </c>
      <c r="I10">
        <v>1225</v>
      </c>
      <c r="J10" s="7">
        <v>123</v>
      </c>
      <c r="K10" s="7">
        <v>150675</v>
      </c>
      <c r="L10" s="29">
        <v>2048.3695000000002</v>
      </c>
      <c r="M10" s="7">
        <v>28500</v>
      </c>
      <c r="N10" s="7">
        <v>267404.5</v>
      </c>
      <c r="Q10" s="7">
        <v>13084.807000000001</v>
      </c>
      <c r="R10">
        <v>12997.930275147501</v>
      </c>
      <c r="S10" s="7">
        <v>86.876724852500047</v>
      </c>
    </row>
    <row r="11" spans="1:19" x14ac:dyDescent="0.35">
      <c r="A11">
        <v>2004</v>
      </c>
      <c r="B11">
        <v>1</v>
      </c>
      <c r="C11" s="7">
        <v>13263.869000000001</v>
      </c>
      <c r="D11" s="36">
        <v>1.3684726110213158E-2</v>
      </c>
      <c r="E11" s="7"/>
      <c r="F11" s="7">
        <v>2741</v>
      </c>
      <c r="G11" s="6">
        <v>47.49</v>
      </c>
      <c r="H11" s="6">
        <v>130170.09000000001</v>
      </c>
      <c r="I11">
        <v>1250</v>
      </c>
      <c r="J11" s="7">
        <v>120</v>
      </c>
      <c r="K11" s="7">
        <v>150000</v>
      </c>
      <c r="L11" s="29">
        <v>2085.9160000000002</v>
      </c>
      <c r="M11" s="7">
        <v>29000</v>
      </c>
      <c r="N11" s="7">
        <v>267672</v>
      </c>
      <c r="Q11" s="7">
        <v>13263.869000000001</v>
      </c>
      <c r="R11">
        <v>12915.020590700002</v>
      </c>
      <c r="S11" s="7">
        <v>348.84840929999882</v>
      </c>
    </row>
    <row r="12" spans="1:19" x14ac:dyDescent="0.35">
      <c r="B12">
        <v>2</v>
      </c>
      <c r="C12" s="7">
        <v>13426.949500000001</v>
      </c>
      <c r="D12" s="36">
        <v>1.2295092781751692E-2</v>
      </c>
      <c r="E12" s="7"/>
      <c r="F12" s="7">
        <v>2770.5</v>
      </c>
      <c r="G12" s="6">
        <v>48.534999999999997</v>
      </c>
      <c r="H12" s="6">
        <v>134466.2175</v>
      </c>
      <c r="I12">
        <v>1275</v>
      </c>
      <c r="J12" s="7">
        <v>123.5</v>
      </c>
      <c r="K12" s="7">
        <v>157462.5</v>
      </c>
      <c r="L12" s="29">
        <v>2124.8645000000001</v>
      </c>
      <c r="M12" s="7">
        <v>30750</v>
      </c>
      <c r="N12" s="7">
        <v>268887.5</v>
      </c>
      <c r="Q12" s="7">
        <v>13426.949500000001</v>
      </c>
      <c r="R12">
        <v>13059.722544862499</v>
      </c>
      <c r="S12" s="7">
        <v>367.22695513750114</v>
      </c>
    </row>
    <row r="13" spans="1:19" x14ac:dyDescent="0.35">
      <c r="A13">
        <v>2005</v>
      </c>
      <c r="B13">
        <v>1</v>
      </c>
      <c r="C13" s="7">
        <v>13590.03</v>
      </c>
      <c r="D13" s="36">
        <v>1.2145759541286725E-2</v>
      </c>
      <c r="E13" s="7"/>
      <c r="F13" s="7">
        <v>2800</v>
      </c>
      <c r="G13" s="6">
        <v>49.58</v>
      </c>
      <c r="H13" s="6">
        <v>138824</v>
      </c>
      <c r="I13">
        <v>1300</v>
      </c>
      <c r="J13" s="7">
        <v>127</v>
      </c>
      <c r="K13" s="7">
        <v>165100</v>
      </c>
      <c r="L13" s="29">
        <v>2163.8130000000001</v>
      </c>
      <c r="M13" s="7">
        <v>32500</v>
      </c>
      <c r="N13" s="7">
        <v>270103</v>
      </c>
      <c r="Q13" s="7">
        <v>13590.03</v>
      </c>
      <c r="R13">
        <v>13205.390886865</v>
      </c>
      <c r="S13" s="7">
        <v>384.63911313500103</v>
      </c>
    </row>
    <row r="14" spans="1:19" x14ac:dyDescent="0.35">
      <c r="B14">
        <v>2</v>
      </c>
      <c r="C14" s="7">
        <v>13792.971000000001</v>
      </c>
      <c r="D14" s="36">
        <v>1.4933079617925841E-2</v>
      </c>
      <c r="E14" s="7"/>
      <c r="F14" s="7">
        <v>2830</v>
      </c>
      <c r="G14" s="6">
        <v>49.265000000000001</v>
      </c>
      <c r="H14" s="6">
        <v>139419.95000000001</v>
      </c>
      <c r="I14">
        <v>1325</v>
      </c>
      <c r="J14" s="7">
        <v>126.5</v>
      </c>
      <c r="K14" s="7">
        <v>167612.5</v>
      </c>
      <c r="L14" s="29">
        <v>2207.7195000000002</v>
      </c>
      <c r="M14" s="7">
        <v>33000</v>
      </c>
      <c r="N14" s="7">
        <v>272020.5</v>
      </c>
      <c r="Q14" s="7">
        <v>13792.971000000001</v>
      </c>
      <c r="R14">
        <v>13413.859511897499</v>
      </c>
      <c r="S14" s="7">
        <v>379.11148810250234</v>
      </c>
    </row>
    <row r="15" spans="1:19" x14ac:dyDescent="0.35">
      <c r="A15">
        <v>2006</v>
      </c>
      <c r="B15">
        <v>1</v>
      </c>
      <c r="C15" s="7">
        <v>13995.912</v>
      </c>
      <c r="D15" s="36">
        <v>1.4713363785075664E-2</v>
      </c>
      <c r="E15" s="7"/>
      <c r="F15" s="7">
        <v>2860</v>
      </c>
      <c r="G15" s="6">
        <v>48.95</v>
      </c>
      <c r="H15" s="6">
        <v>139997</v>
      </c>
      <c r="I15">
        <v>1350</v>
      </c>
      <c r="J15" s="7">
        <v>126</v>
      </c>
      <c r="K15" s="7">
        <v>170100</v>
      </c>
      <c r="L15" s="29">
        <v>2251.6260000000002</v>
      </c>
      <c r="M15" s="7">
        <v>33500</v>
      </c>
      <c r="N15" s="7">
        <v>273938</v>
      </c>
      <c r="Q15" s="7">
        <v>13995.912</v>
      </c>
      <c r="R15">
        <v>13622.35833773</v>
      </c>
      <c r="S15" s="7">
        <v>373.55366227000013</v>
      </c>
    </row>
    <row r="16" spans="1:19" x14ac:dyDescent="0.35">
      <c r="B16">
        <v>2</v>
      </c>
      <c r="C16" s="7">
        <v>14167.9925</v>
      </c>
      <c r="D16" s="36">
        <v>1.2295054441611239E-2</v>
      </c>
      <c r="E16" s="7"/>
      <c r="F16" s="7">
        <v>2993</v>
      </c>
      <c r="G16" s="6">
        <v>49.234999999999999</v>
      </c>
      <c r="H16" s="6">
        <v>147360.35500000001</v>
      </c>
      <c r="I16">
        <v>1375</v>
      </c>
      <c r="J16" s="7">
        <v>123</v>
      </c>
      <c r="K16" s="7">
        <v>169125</v>
      </c>
      <c r="L16" s="29">
        <v>2302.2115000000003</v>
      </c>
      <c r="M16" s="7">
        <v>34250</v>
      </c>
      <c r="N16" s="7">
        <v>276306.5</v>
      </c>
      <c r="Q16" s="7">
        <v>14167.9925</v>
      </c>
      <c r="R16">
        <v>13705.952633397501</v>
      </c>
      <c r="S16" s="7">
        <v>462.03986660249939</v>
      </c>
    </row>
    <row r="17" spans="1:19" x14ac:dyDescent="0.35">
      <c r="A17">
        <v>2007</v>
      </c>
      <c r="B17">
        <v>1</v>
      </c>
      <c r="C17" s="7">
        <v>14340.073</v>
      </c>
      <c r="D17" s="36">
        <v>1.2145722126829191E-2</v>
      </c>
      <c r="E17" s="7"/>
      <c r="F17" s="7">
        <v>3126</v>
      </c>
      <c r="G17" s="6">
        <v>49.52</v>
      </c>
      <c r="H17" s="6">
        <v>154799.52000000002</v>
      </c>
      <c r="I17">
        <v>1400</v>
      </c>
      <c r="J17" s="7">
        <v>120</v>
      </c>
      <c r="K17" s="7">
        <v>168000</v>
      </c>
      <c r="L17" s="29">
        <v>2352.797</v>
      </c>
      <c r="M17" s="7">
        <v>35000</v>
      </c>
      <c r="N17" s="7">
        <v>278675</v>
      </c>
      <c r="Q17" s="7">
        <v>14340.073</v>
      </c>
      <c r="R17">
        <v>13786.573624745</v>
      </c>
      <c r="S17" s="7">
        <v>553.4993752549999</v>
      </c>
    </row>
    <row r="18" spans="1:19" x14ac:dyDescent="0.35">
      <c r="B18">
        <v>2</v>
      </c>
      <c r="C18" s="7">
        <v>14486.4005</v>
      </c>
      <c r="D18" s="36">
        <v>1.0204097287370812E-2</v>
      </c>
      <c r="E18" s="7"/>
      <c r="F18" s="7">
        <v>3194.5</v>
      </c>
      <c r="G18" s="6">
        <v>50.14</v>
      </c>
      <c r="H18" s="6">
        <v>160172.23000000001</v>
      </c>
      <c r="I18">
        <v>1425</v>
      </c>
      <c r="J18" s="7">
        <v>123.5</v>
      </c>
      <c r="K18" s="7">
        <v>175987.5</v>
      </c>
      <c r="L18" s="29">
        <v>2396.7285000000002</v>
      </c>
      <c r="M18" s="7">
        <v>37000</v>
      </c>
      <c r="N18" s="7">
        <v>279657.5</v>
      </c>
      <c r="Q18" s="7">
        <v>14486.4005</v>
      </c>
      <c r="R18">
        <v>13929.002962182502</v>
      </c>
      <c r="S18" s="7">
        <v>557.39753781749823</v>
      </c>
    </row>
    <row r="19" spans="1:19" x14ac:dyDescent="0.35">
      <c r="A19">
        <v>2008</v>
      </c>
      <c r="B19">
        <v>1</v>
      </c>
      <c r="C19" s="7">
        <v>14632.727999999999</v>
      </c>
      <c r="D19" s="36">
        <v>1.0101025441067946E-2</v>
      </c>
      <c r="E19" s="7"/>
      <c r="F19" s="7">
        <v>3263</v>
      </c>
      <c r="G19" s="6">
        <v>50.76</v>
      </c>
      <c r="H19" s="6">
        <v>165629.88</v>
      </c>
      <c r="I19">
        <v>1450</v>
      </c>
      <c r="J19" s="7">
        <v>127</v>
      </c>
      <c r="K19" s="7">
        <v>184150</v>
      </c>
      <c r="L19" s="29">
        <v>2440.66</v>
      </c>
      <c r="M19" s="7">
        <v>39000</v>
      </c>
      <c r="N19" s="7">
        <v>280640</v>
      </c>
      <c r="Q19" s="7">
        <v>14632.727999999999</v>
      </c>
      <c r="R19">
        <v>14072.01047994</v>
      </c>
      <c r="S19" s="7">
        <v>560.71752005999952</v>
      </c>
    </row>
    <row r="20" spans="1:19" x14ac:dyDescent="0.35">
      <c r="B20">
        <v>2</v>
      </c>
      <c r="C20" s="7">
        <v>14851.2395</v>
      </c>
      <c r="D20" s="36">
        <v>1.4933066479469894E-2</v>
      </c>
      <c r="E20" s="7"/>
      <c r="F20" s="7">
        <v>3380.5</v>
      </c>
      <c r="G20" s="6">
        <v>51.47</v>
      </c>
      <c r="H20" s="6">
        <v>173994.33499999999</v>
      </c>
      <c r="I20">
        <v>1475</v>
      </c>
      <c r="J20" s="7">
        <v>129.5</v>
      </c>
      <c r="K20" s="7">
        <v>191012.5</v>
      </c>
      <c r="L20" s="29">
        <v>2490.1844999999998</v>
      </c>
      <c r="M20" s="7">
        <v>39500</v>
      </c>
      <c r="N20" s="7">
        <v>282057.5</v>
      </c>
      <c r="Q20" s="7">
        <v>14851.2395</v>
      </c>
      <c r="R20">
        <v>14213.713708502499</v>
      </c>
      <c r="S20" s="7">
        <v>637.5257914975009</v>
      </c>
    </row>
    <row r="21" spans="1:19" x14ac:dyDescent="0.35">
      <c r="A21">
        <v>2009</v>
      </c>
      <c r="B21">
        <v>1</v>
      </c>
      <c r="C21" s="7">
        <v>15069.751</v>
      </c>
      <c r="D21" s="36">
        <v>1.4713351030397195E-2</v>
      </c>
      <c r="E21" s="7"/>
      <c r="F21" s="7">
        <v>3498</v>
      </c>
      <c r="G21" s="6">
        <v>52.18</v>
      </c>
      <c r="H21" s="6">
        <v>182525.63999999998</v>
      </c>
      <c r="I21">
        <v>1500</v>
      </c>
      <c r="J21" s="7">
        <v>132</v>
      </c>
      <c r="K21" s="7">
        <v>198000</v>
      </c>
      <c r="L21" s="29">
        <v>2539.7089999999998</v>
      </c>
      <c r="M21" s="7">
        <v>40000</v>
      </c>
      <c r="N21" s="7">
        <v>283475</v>
      </c>
      <c r="Q21" s="7">
        <v>15069.751</v>
      </c>
      <c r="R21">
        <v>14354.059713865001</v>
      </c>
      <c r="S21" s="7">
        <v>715.69128613499925</v>
      </c>
    </row>
    <row r="22" spans="1:19" x14ac:dyDescent="0.35">
      <c r="B22">
        <v>2</v>
      </c>
      <c r="C22" s="7">
        <v>15255.0345</v>
      </c>
      <c r="D22" s="36">
        <v>1.2295060482419354E-2</v>
      </c>
      <c r="E22" s="7"/>
      <c r="F22" s="7">
        <v>3572.5</v>
      </c>
      <c r="G22" s="6">
        <v>50.064999999999998</v>
      </c>
      <c r="H22" s="6">
        <v>178857.21249999999</v>
      </c>
      <c r="I22">
        <v>1575</v>
      </c>
      <c r="J22" s="7">
        <v>126</v>
      </c>
      <c r="K22" s="7">
        <v>198450</v>
      </c>
      <c r="L22" s="29">
        <v>2592.6194999999998</v>
      </c>
      <c r="M22" s="7">
        <v>41500</v>
      </c>
      <c r="N22" s="7">
        <v>284474</v>
      </c>
      <c r="Q22" s="7">
        <v>15255.0345</v>
      </c>
      <c r="R22">
        <v>14607.149471997498</v>
      </c>
      <c r="S22" s="7">
        <v>647.88502800250171</v>
      </c>
    </row>
    <row r="23" spans="1:19" x14ac:dyDescent="0.35">
      <c r="A23">
        <v>2010</v>
      </c>
      <c r="B23">
        <v>1</v>
      </c>
      <c r="C23" s="7">
        <v>15440.317999999999</v>
      </c>
      <c r="D23" s="36">
        <v>1.2145728021788449E-2</v>
      </c>
      <c r="E23" s="7"/>
      <c r="F23" s="7">
        <v>3647</v>
      </c>
      <c r="G23" s="6">
        <v>47.95</v>
      </c>
      <c r="H23" s="6">
        <v>174873.65000000002</v>
      </c>
      <c r="I23">
        <v>1650</v>
      </c>
      <c r="J23" s="7">
        <v>120</v>
      </c>
      <c r="K23" s="7">
        <v>198000</v>
      </c>
      <c r="L23" s="29">
        <v>2645.53</v>
      </c>
      <c r="M23" s="7">
        <v>43000</v>
      </c>
      <c r="N23" s="7">
        <v>285473</v>
      </c>
      <c r="Q23" s="7">
        <v>15440.317999999999</v>
      </c>
      <c r="R23">
        <v>14855.236760849999</v>
      </c>
      <c r="S23" s="7">
        <v>585.08123915000033</v>
      </c>
    </row>
    <row r="24" spans="1:19" x14ac:dyDescent="0.35">
      <c r="B24">
        <v>2</v>
      </c>
      <c r="C24" s="7">
        <v>15712.0425</v>
      </c>
      <c r="D24" s="36">
        <v>1.7598374593062155E-2</v>
      </c>
      <c r="E24" s="7"/>
      <c r="F24" s="7">
        <v>3713.5</v>
      </c>
      <c r="G24" s="6">
        <v>48.44</v>
      </c>
      <c r="H24" s="6">
        <v>179881.94</v>
      </c>
      <c r="I24">
        <v>1675</v>
      </c>
      <c r="J24" s="7">
        <v>122.5</v>
      </c>
      <c r="K24" s="7">
        <v>205187.5</v>
      </c>
      <c r="L24" s="29">
        <v>2704.9650000000001</v>
      </c>
      <c r="M24" s="7">
        <v>45500</v>
      </c>
      <c r="N24" s="7">
        <v>286046.5</v>
      </c>
      <c r="Q24" s="7">
        <v>15712.0425</v>
      </c>
      <c r="R24">
        <v>15036.236164145001</v>
      </c>
      <c r="S24" s="7">
        <v>675.80633585499891</v>
      </c>
    </row>
    <row r="25" spans="1:19" x14ac:dyDescent="0.35">
      <c r="A25">
        <v>2011</v>
      </c>
      <c r="B25">
        <v>1</v>
      </c>
      <c r="C25" s="7">
        <v>15983.767</v>
      </c>
      <c r="D25" s="36">
        <v>1.7294027813379468E-2</v>
      </c>
      <c r="E25" s="7"/>
      <c r="F25" s="7">
        <v>3780</v>
      </c>
      <c r="G25" s="6">
        <v>48.93</v>
      </c>
      <c r="H25" s="6">
        <v>184955.4</v>
      </c>
      <c r="I25">
        <v>1700</v>
      </c>
      <c r="J25" s="7">
        <v>125</v>
      </c>
      <c r="K25" s="7">
        <v>212500</v>
      </c>
      <c r="L25" s="29">
        <v>2764.4</v>
      </c>
      <c r="M25" s="7">
        <v>48000</v>
      </c>
      <c r="N25" s="7">
        <v>286620</v>
      </c>
      <c r="Q25" s="7">
        <v>15983.767</v>
      </c>
      <c r="R25">
        <v>15217.573553200002</v>
      </c>
      <c r="S25" s="7">
        <v>766.19344679999813</v>
      </c>
    </row>
    <row r="26" spans="1:19" x14ac:dyDescent="0.35">
      <c r="B26">
        <v>2</v>
      </c>
      <c r="C26" s="7">
        <v>16729.378000000001</v>
      </c>
      <c r="D26" s="36">
        <v>4.6648014826542503E-2</v>
      </c>
      <c r="E26" s="7"/>
      <c r="F26" s="7">
        <v>3931</v>
      </c>
      <c r="G26" s="6">
        <v>49.33</v>
      </c>
      <c r="H26" s="6">
        <v>193916.22999999998</v>
      </c>
      <c r="I26">
        <v>1775</v>
      </c>
      <c r="J26" s="7">
        <v>130</v>
      </c>
      <c r="K26" s="7">
        <v>230750</v>
      </c>
      <c r="L26" s="29">
        <v>3019.2</v>
      </c>
      <c r="M26" s="7">
        <v>46500</v>
      </c>
      <c r="N26" s="7">
        <v>287857.5</v>
      </c>
      <c r="Q26" s="7">
        <v>16729.378000000001</v>
      </c>
      <c r="R26">
        <v>16308.71279944</v>
      </c>
      <c r="S26" s="7">
        <v>420.66520056000081</v>
      </c>
    </row>
    <row r="27" spans="1:19" x14ac:dyDescent="0.35">
      <c r="A27">
        <v>2012</v>
      </c>
      <c r="B27">
        <v>1</v>
      </c>
      <c r="C27" s="7">
        <v>17474.989000000001</v>
      </c>
      <c r="D27" s="36">
        <v>4.4568961260843094E-2</v>
      </c>
      <c r="E27" s="7"/>
      <c r="F27" s="7">
        <v>4082</v>
      </c>
      <c r="G27" s="6">
        <v>49.73</v>
      </c>
      <c r="H27" s="6">
        <v>202997.86</v>
      </c>
      <c r="I27">
        <v>1850</v>
      </c>
      <c r="J27" s="7">
        <v>135</v>
      </c>
      <c r="K27" s="7">
        <v>249750</v>
      </c>
      <c r="L27" s="29">
        <v>3274</v>
      </c>
      <c r="M27" s="7">
        <v>45000</v>
      </c>
      <c r="N27" s="7">
        <v>289095</v>
      </c>
      <c r="Q27" s="7">
        <v>17474.989000000001</v>
      </c>
      <c r="R27">
        <v>17406.385068080002</v>
      </c>
      <c r="S27" s="7">
        <v>68.603931919999013</v>
      </c>
    </row>
    <row r="28" spans="1:19" x14ac:dyDescent="0.35">
      <c r="B28">
        <v>2</v>
      </c>
      <c r="C28" s="7">
        <v>17177.185000000001</v>
      </c>
      <c r="D28" s="36">
        <v>-1.7041727465465076E-2</v>
      </c>
      <c r="E28" s="7"/>
      <c r="F28" s="7">
        <v>4352.5</v>
      </c>
      <c r="G28" s="6">
        <v>50.47</v>
      </c>
      <c r="H28" s="6">
        <v>219670.67499999999</v>
      </c>
      <c r="I28">
        <v>1875</v>
      </c>
      <c r="J28" s="7">
        <v>151</v>
      </c>
      <c r="K28" s="7">
        <v>283125</v>
      </c>
      <c r="L28" s="29">
        <v>3242.75</v>
      </c>
      <c r="M28" s="7">
        <v>50500</v>
      </c>
      <c r="N28" s="7">
        <v>288347.5</v>
      </c>
      <c r="Q28" s="7">
        <v>17177.185000000001</v>
      </c>
      <c r="R28">
        <v>17254.50148015</v>
      </c>
      <c r="S28" s="7">
        <v>-77.316480149998824</v>
      </c>
    </row>
    <row r="29" spans="1:19" x14ac:dyDescent="0.35">
      <c r="A29">
        <v>2013</v>
      </c>
      <c r="B29">
        <v>1</v>
      </c>
      <c r="C29" s="7">
        <v>16879.381000000001</v>
      </c>
      <c r="D29" s="36">
        <v>-1.7337183013398299E-2</v>
      </c>
      <c r="E29" s="7"/>
      <c r="F29" s="7">
        <v>4623</v>
      </c>
      <c r="G29" s="6">
        <v>51.21</v>
      </c>
      <c r="H29" s="6">
        <v>236743.83000000002</v>
      </c>
      <c r="I29">
        <v>1900</v>
      </c>
      <c r="J29" s="7">
        <v>167</v>
      </c>
      <c r="K29" s="7">
        <v>317300</v>
      </c>
      <c r="L29" s="29">
        <v>3211.5</v>
      </c>
      <c r="M29" s="7">
        <v>56000</v>
      </c>
      <c r="N29" s="7">
        <v>287600</v>
      </c>
      <c r="Q29" s="7">
        <v>16879.381000000001</v>
      </c>
      <c r="R29">
        <v>17105.060223740002</v>
      </c>
      <c r="S29" s="7">
        <v>-225.67922374000045</v>
      </c>
    </row>
    <row r="30" spans="1:19" x14ac:dyDescent="0.35">
      <c r="B30">
        <v>2</v>
      </c>
      <c r="C30" s="7">
        <v>16928.809500000003</v>
      </c>
      <c r="D30" s="36">
        <v>2.9283360568732823E-3</v>
      </c>
      <c r="E30" s="7"/>
      <c r="F30" s="7">
        <v>4780.5</v>
      </c>
      <c r="G30" s="6">
        <v>51.394999999999996</v>
      </c>
      <c r="H30" s="6">
        <v>245693.79749999999</v>
      </c>
      <c r="I30">
        <v>1925</v>
      </c>
      <c r="J30" s="7">
        <v>159</v>
      </c>
      <c r="K30" s="7">
        <v>306075</v>
      </c>
      <c r="L30" s="29">
        <v>3221.5</v>
      </c>
      <c r="M30" s="7">
        <v>65000</v>
      </c>
      <c r="N30" s="7">
        <v>318128</v>
      </c>
      <c r="Q30" s="7">
        <v>16928.809500000003</v>
      </c>
      <c r="R30">
        <v>17179.96460358</v>
      </c>
      <c r="S30" s="7">
        <v>-251.15510357999665</v>
      </c>
    </row>
    <row r="31" spans="1:19" x14ac:dyDescent="0.35">
      <c r="A31">
        <v>2014</v>
      </c>
      <c r="B31">
        <v>1</v>
      </c>
      <c r="C31" s="7">
        <v>16978.238000000001</v>
      </c>
      <c r="D31" s="36">
        <v>2.9197859424195281E-3</v>
      </c>
      <c r="E31" s="7"/>
      <c r="F31" s="7">
        <v>4938</v>
      </c>
      <c r="G31" s="6">
        <v>51.58</v>
      </c>
      <c r="H31" s="6">
        <v>254702.03999999998</v>
      </c>
      <c r="I31">
        <v>1950</v>
      </c>
      <c r="J31" s="7">
        <v>151</v>
      </c>
      <c r="K31" s="7">
        <v>294450</v>
      </c>
      <c r="L31" s="29">
        <v>3231.5</v>
      </c>
      <c r="M31" s="7">
        <v>74000</v>
      </c>
      <c r="N31" s="7">
        <v>348656</v>
      </c>
      <c r="Q31" s="7">
        <v>16978.238000000001</v>
      </c>
      <c r="R31">
        <v>17249.339022619999</v>
      </c>
      <c r="S31" s="7">
        <v>-271.10102261999782</v>
      </c>
    </row>
    <row r="32" spans="1:19" x14ac:dyDescent="0.35">
      <c r="B32">
        <v>2</v>
      </c>
      <c r="C32" s="7">
        <v>17128.3145</v>
      </c>
      <c r="D32" s="36">
        <v>8.8393448130482805E-3</v>
      </c>
      <c r="E32" s="7"/>
      <c r="F32" s="7">
        <v>5050.5</v>
      </c>
      <c r="G32" s="6">
        <v>52.224999999999994</v>
      </c>
      <c r="H32" s="6">
        <v>263762.36249999999</v>
      </c>
      <c r="I32">
        <v>1950</v>
      </c>
      <c r="J32" s="7">
        <v>137</v>
      </c>
      <c r="K32" s="7">
        <v>267150</v>
      </c>
      <c r="L32" s="29">
        <v>3528.25</v>
      </c>
      <c r="M32" s="7">
        <v>80500</v>
      </c>
      <c r="N32" s="7">
        <v>315474</v>
      </c>
      <c r="Q32" s="7">
        <v>17128.3145</v>
      </c>
      <c r="R32">
        <v>17225.743187649998</v>
      </c>
      <c r="S32" s="7">
        <v>-97.4286876499973</v>
      </c>
    </row>
    <row r="33" spans="1:19" x14ac:dyDescent="0.35">
      <c r="A33">
        <v>2015</v>
      </c>
      <c r="B33">
        <v>1</v>
      </c>
      <c r="C33" s="7">
        <v>17278.391</v>
      </c>
      <c r="D33" s="36">
        <v>8.7618953984059094E-3</v>
      </c>
      <c r="E33" s="7"/>
      <c r="F33" s="7">
        <v>5163</v>
      </c>
      <c r="G33" s="6">
        <v>52.87</v>
      </c>
      <c r="H33" s="6">
        <v>272967.81</v>
      </c>
      <c r="I33">
        <v>1950</v>
      </c>
      <c r="J33" s="7">
        <v>123</v>
      </c>
      <c r="K33" s="7">
        <v>239850</v>
      </c>
      <c r="L33" s="29">
        <v>3825</v>
      </c>
      <c r="M33" s="7">
        <v>87000</v>
      </c>
      <c r="N33" s="7">
        <v>282292</v>
      </c>
      <c r="Q33" s="7">
        <v>17278.391</v>
      </c>
      <c r="R33">
        <v>17199.727828679999</v>
      </c>
      <c r="S33" s="7">
        <v>78.663171320000401</v>
      </c>
    </row>
    <row r="34" spans="1:19" x14ac:dyDescent="0.35">
      <c r="B34">
        <v>2</v>
      </c>
      <c r="C34" s="7">
        <v>17478.3125</v>
      </c>
      <c r="D34" s="36">
        <v>1.1570608629009518E-2</v>
      </c>
      <c r="E34" s="7"/>
      <c r="F34" s="7">
        <v>5244</v>
      </c>
      <c r="G34" s="6">
        <v>52.97</v>
      </c>
      <c r="H34" s="6">
        <v>277774.68</v>
      </c>
      <c r="I34">
        <v>1975</v>
      </c>
      <c r="J34" s="7">
        <v>122.5</v>
      </c>
      <c r="K34" s="7">
        <v>241937.5</v>
      </c>
      <c r="L34" s="29">
        <v>3837.3</v>
      </c>
      <c r="M34" s="7">
        <v>90000</v>
      </c>
      <c r="N34" s="7">
        <v>327425</v>
      </c>
      <c r="Q34" s="7">
        <v>17478.3125</v>
      </c>
      <c r="R34">
        <v>17882.298151539999</v>
      </c>
      <c r="S34" s="7">
        <v>-403.9856515399988</v>
      </c>
    </row>
    <row r="35" spans="1:19" x14ac:dyDescent="0.35">
      <c r="A35">
        <v>2016</v>
      </c>
      <c r="B35">
        <v>1</v>
      </c>
      <c r="C35" s="7">
        <v>17678.234</v>
      </c>
      <c r="D35" s="36">
        <v>1.1438260987724094E-2</v>
      </c>
      <c r="E35" s="7"/>
      <c r="F35" s="7">
        <v>5325</v>
      </c>
      <c r="G35" s="6">
        <v>53.07</v>
      </c>
      <c r="H35" s="6">
        <v>282597.75</v>
      </c>
      <c r="I35">
        <v>2000</v>
      </c>
      <c r="J35" s="7">
        <v>122</v>
      </c>
      <c r="K35" s="7">
        <v>244000</v>
      </c>
      <c r="L35" s="29">
        <v>3849.6</v>
      </c>
      <c r="M35" s="7">
        <v>93000</v>
      </c>
      <c r="N35" s="7">
        <v>372558</v>
      </c>
      <c r="Q35" s="7">
        <v>17678.234</v>
      </c>
      <c r="R35">
        <v>18564.313488</v>
      </c>
      <c r="S35" s="7">
        <v>-886.0794879999994</v>
      </c>
    </row>
    <row r="36" spans="1:19" x14ac:dyDescent="0.35">
      <c r="B36">
        <v>2</v>
      </c>
      <c r="C36" s="7">
        <v>17917.478500000001</v>
      </c>
      <c r="D36" s="36">
        <v>1.3533280530170643E-2</v>
      </c>
      <c r="E36" s="7"/>
      <c r="F36" s="7">
        <v>5637</v>
      </c>
      <c r="G36" s="6">
        <v>53.55</v>
      </c>
      <c r="H36" s="6">
        <v>301861.34999999998</v>
      </c>
      <c r="I36">
        <v>2075</v>
      </c>
      <c r="J36" s="7">
        <v>123.5</v>
      </c>
      <c r="K36" s="7">
        <v>256262.5</v>
      </c>
      <c r="L36" s="29">
        <v>4094.8500000000004</v>
      </c>
      <c r="M36" s="7">
        <v>99000</v>
      </c>
      <c r="N36" s="7">
        <v>348280.5</v>
      </c>
      <c r="Q36" s="7">
        <v>17917.478500000001</v>
      </c>
      <c r="R36">
        <v>18784.293685050001</v>
      </c>
      <c r="S36" s="7">
        <v>-866.81518504999985</v>
      </c>
    </row>
    <row r="37" spans="1:19" x14ac:dyDescent="0.35">
      <c r="A37">
        <v>2017</v>
      </c>
      <c r="B37">
        <v>1</v>
      </c>
      <c r="C37" s="7">
        <v>18156.723000000002</v>
      </c>
      <c r="D37" s="36">
        <v>1.3352576368376872E-2</v>
      </c>
      <c r="E37" s="7"/>
      <c r="F37" s="7">
        <v>5949</v>
      </c>
      <c r="G37" s="6">
        <v>54.03</v>
      </c>
      <c r="H37" s="6">
        <v>321424.47000000003</v>
      </c>
      <c r="I37">
        <v>2150</v>
      </c>
      <c r="J37" s="7">
        <v>125</v>
      </c>
      <c r="K37" s="7">
        <v>268750</v>
      </c>
      <c r="L37" s="29">
        <v>4340.1000000000004</v>
      </c>
      <c r="M37" s="7">
        <v>105000</v>
      </c>
      <c r="N37" s="7">
        <v>324003</v>
      </c>
      <c r="Q37" s="7">
        <v>18156.723000000002</v>
      </c>
      <c r="R37">
        <v>19001.844384660002</v>
      </c>
      <c r="S37" s="7">
        <v>-845.12138466000033</v>
      </c>
    </row>
    <row r="38" spans="1:19" x14ac:dyDescent="0.35">
      <c r="B38">
        <v>2</v>
      </c>
      <c r="C38" s="7">
        <v>18462.329000000002</v>
      </c>
      <c r="D38" s="36">
        <v>1.6831561510301157E-2</v>
      </c>
      <c r="E38" s="7"/>
      <c r="F38" s="7">
        <v>5806</v>
      </c>
      <c r="G38" s="6">
        <v>53.1</v>
      </c>
      <c r="H38" s="6">
        <v>308298.60000000003</v>
      </c>
      <c r="I38">
        <v>2175</v>
      </c>
      <c r="J38" s="7">
        <v>130</v>
      </c>
      <c r="K38" s="7">
        <v>282750</v>
      </c>
      <c r="L38" s="29">
        <v>4398.6499999999996</v>
      </c>
      <c r="M38" s="7">
        <v>116500</v>
      </c>
      <c r="N38" s="7">
        <v>318362.5</v>
      </c>
      <c r="Q38" s="7">
        <v>18462.329000000002</v>
      </c>
      <c r="R38">
        <v>19255.926474049993</v>
      </c>
      <c r="S38" s="7">
        <v>-793.59747404999143</v>
      </c>
    </row>
    <row r="39" spans="1:19" x14ac:dyDescent="0.35">
      <c r="A39">
        <v>2018</v>
      </c>
      <c r="B39">
        <v>1</v>
      </c>
      <c r="C39" s="7">
        <v>18767.935000000001</v>
      </c>
      <c r="D39" s="36">
        <v>1.6552949522240651E-2</v>
      </c>
      <c r="E39" s="7"/>
      <c r="F39" s="7">
        <v>5663</v>
      </c>
      <c r="G39" s="6">
        <v>52.17</v>
      </c>
      <c r="H39" s="6">
        <v>295438.71000000002</v>
      </c>
      <c r="I39">
        <v>2200</v>
      </c>
      <c r="J39" s="7">
        <v>135</v>
      </c>
      <c r="K39" s="7">
        <v>297000</v>
      </c>
      <c r="L39" s="29">
        <v>4457.2</v>
      </c>
      <c r="M39" s="7">
        <v>128000</v>
      </c>
      <c r="N39" s="7">
        <v>312722</v>
      </c>
      <c r="Q39" s="7">
        <v>18767.935000000001</v>
      </c>
      <c r="R39">
        <v>19508.423144879998</v>
      </c>
      <c r="S39" s="7">
        <v>-740.48814487999698</v>
      </c>
    </row>
    <row r="40" spans="1:19" x14ac:dyDescent="0.35">
      <c r="B40">
        <v>2</v>
      </c>
      <c r="C40" s="7">
        <v>19518.652399999999</v>
      </c>
      <c r="D40" s="36">
        <v>3.9999999999999876E-2</v>
      </c>
      <c r="E40" s="7"/>
      <c r="F40" s="7">
        <v>5683</v>
      </c>
      <c r="G40" s="6">
        <v>50.650000000000006</v>
      </c>
      <c r="H40" s="6">
        <v>287843.95</v>
      </c>
      <c r="I40">
        <v>2225</v>
      </c>
      <c r="J40" s="7">
        <v>134</v>
      </c>
      <c r="K40" s="7">
        <v>298150</v>
      </c>
      <c r="L40" s="29">
        <v>4448.3999999999996</v>
      </c>
      <c r="M40" s="7">
        <v>132000</v>
      </c>
      <c r="N40" s="7">
        <v>331821.5</v>
      </c>
      <c r="Q40" s="7">
        <v>19518.652399999999</v>
      </c>
      <c r="R40">
        <v>19846.6502616</v>
      </c>
      <c r="S40" s="7">
        <v>-327.99786160000076</v>
      </c>
    </row>
    <row r="41" spans="1:19" x14ac:dyDescent="0.35">
      <c r="A41">
        <v>2019</v>
      </c>
      <c r="B41">
        <v>1</v>
      </c>
      <c r="C41" s="7">
        <v>20269.3698</v>
      </c>
      <c r="D41" s="36">
        <v>3.8461538461538533E-2</v>
      </c>
      <c r="E41" s="7"/>
      <c r="F41" s="7">
        <v>5703</v>
      </c>
      <c r="G41" s="6">
        <v>49.13</v>
      </c>
      <c r="H41" s="6">
        <v>280188.39</v>
      </c>
      <c r="I41">
        <v>2250</v>
      </c>
      <c r="J41" s="7">
        <v>133</v>
      </c>
      <c r="K41" s="7">
        <v>299250</v>
      </c>
      <c r="L41" s="29">
        <v>4439.6000000000004</v>
      </c>
      <c r="M41" s="7">
        <v>136000</v>
      </c>
      <c r="N41" s="7">
        <v>350921</v>
      </c>
      <c r="Q41" s="7">
        <v>20269.3698</v>
      </c>
      <c r="R41">
        <v>20185.321235920001</v>
      </c>
      <c r="S41" s="7">
        <v>84.048564079999778</v>
      </c>
    </row>
    <row r="42" spans="1:19" x14ac:dyDescent="0.35">
      <c r="B42">
        <v>2</v>
      </c>
      <c r="C42" s="7">
        <v>22093.613082</v>
      </c>
      <c r="D42" s="36">
        <v>8.9999999999999969E-2</v>
      </c>
      <c r="E42" s="7"/>
      <c r="F42" s="7">
        <v>5546</v>
      </c>
      <c r="G42" s="6">
        <v>49.695</v>
      </c>
      <c r="H42" s="6">
        <v>275608.47000000003</v>
      </c>
      <c r="I42">
        <v>2325</v>
      </c>
      <c r="J42" s="7">
        <v>130</v>
      </c>
      <c r="K42" s="7">
        <v>302250</v>
      </c>
      <c r="L42" s="29">
        <v>4759.8</v>
      </c>
      <c r="M42" s="7">
        <v>148500</v>
      </c>
      <c r="N42" s="7">
        <v>366973.5</v>
      </c>
      <c r="Q42" s="7">
        <v>22093.613082</v>
      </c>
      <c r="R42">
        <v>21518.695173159998</v>
      </c>
      <c r="S42" s="7">
        <v>574.91790884000147</v>
      </c>
    </row>
    <row r="43" spans="1:19" x14ac:dyDescent="0.35">
      <c r="A43">
        <v>2020</v>
      </c>
      <c r="B43">
        <v>1</v>
      </c>
      <c r="C43" s="7">
        <v>23917.856363999999</v>
      </c>
      <c r="D43" s="36">
        <v>8.2568807339449518E-2</v>
      </c>
      <c r="E43" s="7"/>
      <c r="F43" s="7">
        <v>5389</v>
      </c>
      <c r="G43" s="6">
        <v>50.26</v>
      </c>
      <c r="H43" s="6">
        <v>270851.14</v>
      </c>
      <c r="I43">
        <v>2400</v>
      </c>
      <c r="J43" s="7">
        <v>127</v>
      </c>
      <c r="K43" s="7">
        <v>304800</v>
      </c>
      <c r="L43" s="29">
        <v>5080</v>
      </c>
      <c r="M43" s="7">
        <v>161000</v>
      </c>
      <c r="N43" s="7">
        <v>383026</v>
      </c>
      <c r="Q43" s="7">
        <v>23917.856363999999</v>
      </c>
      <c r="R43">
        <v>22849.898689920003</v>
      </c>
      <c r="S43" s="7">
        <v>1067.9576740799967</v>
      </c>
    </row>
    <row r="44" spans="1:19" x14ac:dyDescent="0.35">
      <c r="B44">
        <v>2</v>
      </c>
      <c r="C44" s="7">
        <v>23005.734723000001</v>
      </c>
      <c r="D44" s="36">
        <v>-3.8135593220338895E-2</v>
      </c>
      <c r="E44" s="7"/>
      <c r="F44" s="7">
        <v>5467.5</v>
      </c>
      <c r="G44" s="6">
        <v>49.977499999999999</v>
      </c>
      <c r="H44" s="6">
        <v>273251.98125000001</v>
      </c>
      <c r="I44">
        <v>2362.5</v>
      </c>
      <c r="J44" s="7">
        <v>128.5</v>
      </c>
      <c r="K44" s="7">
        <v>303581.25</v>
      </c>
      <c r="L44" s="29">
        <v>4919.8999999999996</v>
      </c>
      <c r="M44" s="7">
        <v>154750</v>
      </c>
      <c r="N44" s="7">
        <v>374999.75</v>
      </c>
      <c r="Q44" s="7">
        <v>23005.734723000001</v>
      </c>
      <c r="R44">
        <v>22184.568234099999</v>
      </c>
      <c r="S44" s="7">
        <v>821.16648890000215</v>
      </c>
    </row>
    <row r="45" spans="1:19" x14ac:dyDescent="0.35">
      <c r="A45">
        <v>2021</v>
      </c>
      <c r="B45">
        <v>1</v>
      </c>
      <c r="C45" s="7">
        <v>20959.958929935001</v>
      </c>
      <c r="D45" s="36">
        <v>-8.8924601526407007E-2</v>
      </c>
      <c r="E45" s="7"/>
      <c r="F45" s="7">
        <v>5546</v>
      </c>
      <c r="G45" s="6">
        <v>53.76</v>
      </c>
      <c r="H45" s="6">
        <v>298152.95999999996</v>
      </c>
      <c r="I45">
        <v>2389.69221835075</v>
      </c>
      <c r="J45" s="7">
        <v>134.21602787456399</v>
      </c>
      <c r="K45" s="7">
        <v>320734.99738979293</v>
      </c>
      <c r="L45" s="29">
        <v>4701.3049477351997</v>
      </c>
      <c r="M45" s="7">
        <v>129325.783972126</v>
      </c>
      <c r="N45" s="7">
        <v>352711.788037166</v>
      </c>
      <c r="Q45" s="7">
        <v>20959.958929935001</v>
      </c>
      <c r="R45">
        <v>21313.502717203552</v>
      </c>
      <c r="S45" s="7">
        <v>-353.54378726855066</v>
      </c>
    </row>
    <row r="46" spans="1:19" x14ac:dyDescent="0.35">
      <c r="B46">
        <v>2</v>
      </c>
      <c r="C46" s="7">
        <v>21191.333679312898</v>
      </c>
      <c r="D46" s="36">
        <v>1.1038893260780587E-2</v>
      </c>
      <c r="E46" s="7"/>
      <c r="F46" s="7">
        <v>5624.5</v>
      </c>
      <c r="G46" s="6">
        <v>52.11</v>
      </c>
      <c r="H46" s="6">
        <v>293092.69500000001</v>
      </c>
      <c r="I46">
        <v>2423.16904356751</v>
      </c>
      <c r="J46" s="7">
        <v>134.42042784215201</v>
      </c>
      <c r="K46" s="7">
        <v>325723.419570203</v>
      </c>
      <c r="L46" s="29">
        <v>4779.7335532776997</v>
      </c>
      <c r="M46" s="7">
        <v>132428.146017341</v>
      </c>
      <c r="N46" s="7">
        <v>355254.18875428801</v>
      </c>
      <c r="Q46" s="7">
        <v>21191.333679312898</v>
      </c>
      <c r="R46">
        <v>21729.994313597497</v>
      </c>
      <c r="S46" s="7">
        <v>-538.66063428459893</v>
      </c>
    </row>
    <row r="47" spans="1:19" x14ac:dyDescent="0.35">
      <c r="A47">
        <v>2022</v>
      </c>
      <c r="B47">
        <v>1</v>
      </c>
      <c r="C47" s="7">
        <v>21422.708428690799</v>
      </c>
      <c r="D47" s="36">
        <v>1.0918366577549122E-2</v>
      </c>
      <c r="E47" s="7"/>
      <c r="F47" s="7">
        <v>5703</v>
      </c>
      <c r="G47" s="6">
        <v>50.33</v>
      </c>
      <c r="H47" s="6">
        <v>287031.99</v>
      </c>
      <c r="I47">
        <v>2456.6458687842701</v>
      </c>
      <c r="J47" s="7">
        <v>134.62482780974</v>
      </c>
      <c r="K47" s="7">
        <v>330725.52707459149</v>
      </c>
      <c r="L47" s="29">
        <v>4858.1621588201997</v>
      </c>
      <c r="M47" s="7">
        <v>135530.50806255601</v>
      </c>
      <c r="N47" s="7">
        <v>357796.58947141003</v>
      </c>
      <c r="Q47" s="7">
        <v>21422.708428690799</v>
      </c>
      <c r="R47">
        <v>22163.321203623513</v>
      </c>
      <c r="S47" s="7">
        <v>-740.61277493271336</v>
      </c>
    </row>
    <row r="48" spans="1:19" x14ac:dyDescent="0.35">
      <c r="B48">
        <v>2</v>
      </c>
      <c r="C48" s="7">
        <v>21654.0831780687</v>
      </c>
      <c r="D48" s="36">
        <v>1.0800443377552937E-2</v>
      </c>
      <c r="E48" s="7"/>
      <c r="F48" s="7">
        <v>5781.5</v>
      </c>
      <c r="G48" s="6">
        <v>50.33</v>
      </c>
      <c r="H48" s="6">
        <v>290982.89500000002</v>
      </c>
      <c r="I48">
        <v>2490.1226940010201</v>
      </c>
      <c r="J48" s="7">
        <v>134.82922777732799</v>
      </c>
      <c r="K48" s="7">
        <v>335741.31990295713</v>
      </c>
      <c r="L48" s="29">
        <v>4936.5907643626997</v>
      </c>
      <c r="M48" s="7">
        <v>138632.87010777101</v>
      </c>
      <c r="N48" s="7">
        <v>360338.99018853199</v>
      </c>
      <c r="Q48" s="7">
        <v>21654.0831780687</v>
      </c>
      <c r="R48">
        <v>22429.890489681562</v>
      </c>
      <c r="S48" s="7">
        <v>-775.80731161286167</v>
      </c>
    </row>
    <row r="49" spans="1:20" x14ac:dyDescent="0.35">
      <c r="A49" s="37">
        <v>2023</v>
      </c>
      <c r="B49" s="37"/>
      <c r="C49" s="7">
        <v>21885.457927446601</v>
      </c>
      <c r="D49" s="36">
        <v>1.0685040205823068E-2</v>
      </c>
      <c r="E49" s="7"/>
      <c r="F49" s="7"/>
      <c r="G49" s="6"/>
      <c r="H49" s="6"/>
      <c r="J49" s="7"/>
      <c r="K49" s="7"/>
      <c r="M49" s="7"/>
      <c r="N49" s="7"/>
      <c r="Q49" s="7"/>
      <c r="S49" s="7"/>
    </row>
    <row r="50" spans="1:20" x14ac:dyDescent="0.35">
      <c r="A50" s="37">
        <v>2024</v>
      </c>
      <c r="B50" s="37"/>
      <c r="C50" s="7">
        <v>22116.832676824601</v>
      </c>
      <c r="D50" s="36">
        <v>1.0572077136564351E-2</v>
      </c>
      <c r="E50" s="7"/>
      <c r="F50" s="7"/>
      <c r="G50" s="6"/>
      <c r="H50" s="6"/>
      <c r="J50" s="7"/>
      <c r="K50" s="7"/>
      <c r="M50" s="7"/>
      <c r="N50" s="7"/>
      <c r="Q50" s="7"/>
      <c r="S50" s="7"/>
    </row>
    <row r="51" spans="1:20" x14ac:dyDescent="0.35">
      <c r="A51" s="37">
        <v>2025</v>
      </c>
      <c r="B51" s="37"/>
      <c r="C51" s="7">
        <v>22348.207426202502</v>
      </c>
      <c r="D51" s="36">
        <v>1.0461477588531469E-2</v>
      </c>
      <c r="S51" s="31">
        <v>-1574.1279309436941</v>
      </c>
    </row>
    <row r="52" spans="1:20" x14ac:dyDescent="0.35">
      <c r="A52" s="37">
        <v>2026</v>
      </c>
      <c r="B52" s="37"/>
      <c r="C52" s="7">
        <v>22579.582175580399</v>
      </c>
      <c r="D52" s="36">
        <v>1.0353168151939492E-2</v>
      </c>
      <c r="S52" s="32">
        <v>98.249502967619605</v>
      </c>
      <c r="T52">
        <v>98.249502967619605</v>
      </c>
    </row>
    <row r="53" spans="1:20" x14ac:dyDescent="0.35">
      <c r="A53" s="37">
        <v>2027</v>
      </c>
      <c r="B53" s="37"/>
      <c r="C53" s="7">
        <v>22810.956924958398</v>
      </c>
      <c r="D53" s="36">
        <v>1.0247078425934241E-2</v>
      </c>
      <c r="L53" t="s">
        <v>310</v>
      </c>
      <c r="S53">
        <v>9.9120887288007875</v>
      </c>
    </row>
    <row r="54" spans="1:20" x14ac:dyDescent="0.35">
      <c r="A54" s="37"/>
      <c r="B54" s="37"/>
      <c r="C54" s="13"/>
      <c r="D54" s="16">
        <v>2.7778893208954041E-2</v>
      </c>
      <c r="L54" t="s">
        <v>129</v>
      </c>
      <c r="M54">
        <v>-1.6671999999999999E-2</v>
      </c>
    </row>
    <row r="55" spans="1:20" x14ac:dyDescent="0.35">
      <c r="A55" s="37"/>
      <c r="B55" s="37"/>
      <c r="C55" s="13"/>
      <c r="D55" s="36"/>
      <c r="L55" t="s">
        <v>336</v>
      </c>
      <c r="M55">
        <v>1.1396E-2</v>
      </c>
    </row>
    <row r="56" spans="1:20" x14ac:dyDescent="0.35">
      <c r="A56" s="37"/>
      <c r="B56" s="37"/>
      <c r="C56" s="13"/>
      <c r="D56" s="36"/>
      <c r="L56" t="s">
        <v>132</v>
      </c>
      <c r="M56">
        <v>3.840605</v>
      </c>
    </row>
    <row r="57" spans="1:20" x14ac:dyDescent="0.35">
      <c r="A57" s="37"/>
      <c r="B57" s="37"/>
      <c r="C57" s="13"/>
      <c r="D57" s="36"/>
      <c r="L57" t="s">
        <v>133</v>
      </c>
      <c r="M57">
        <v>-2.2124000000000001E-2</v>
      </c>
    </row>
    <row r="58" spans="1:20" x14ac:dyDescent="0.35">
      <c r="A58" s="37"/>
      <c r="B58" s="37"/>
      <c r="C58" s="13"/>
      <c r="D58" s="36"/>
      <c r="L58" t="s">
        <v>134</v>
      </c>
      <c r="M58">
        <v>1.6795999999999998E-2</v>
      </c>
    </row>
    <row r="60" spans="1:20" ht="15.5" x14ac:dyDescent="0.35">
      <c r="L60" s="19" t="s">
        <v>333</v>
      </c>
      <c r="M60">
        <v>1510.414</v>
      </c>
    </row>
  </sheetData>
  <mergeCells count="2">
    <mergeCell ref="F1:G1"/>
    <mergeCell ref="I1:J1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222E-1F04-4DA5-815E-E38610B36E7F}">
  <dimension ref="A1:C52"/>
  <sheetViews>
    <sheetView topLeftCell="A42" workbookViewId="0">
      <selection activeCell="D54" sqref="D54"/>
    </sheetView>
  </sheetViews>
  <sheetFormatPr defaultRowHeight="14.5" x14ac:dyDescent="0.35"/>
  <sheetData>
    <row r="1" spans="1:3" x14ac:dyDescent="0.35">
      <c r="A1" t="s">
        <v>438</v>
      </c>
      <c r="B1" t="s">
        <v>439</v>
      </c>
      <c r="C1" t="s">
        <v>440</v>
      </c>
    </row>
    <row r="2" spans="1:3" x14ac:dyDescent="0.35">
      <c r="A2">
        <v>2000</v>
      </c>
      <c r="B2" s="7">
        <f>'Persamaan 12'!C3</f>
        <v>11778.637000000001</v>
      </c>
      <c r="C2">
        <f>'Persamaan 12'!R3</f>
        <v>12898.04861231</v>
      </c>
    </row>
    <row r="3" spans="1:3" x14ac:dyDescent="0.35">
      <c r="A3">
        <v>2000</v>
      </c>
      <c r="B3" s="7">
        <f>'Persamaan 12'!C4</f>
        <v>11967.047</v>
      </c>
      <c r="C3">
        <f>'Persamaan 12'!R4</f>
        <v>12934.435327564999</v>
      </c>
    </row>
    <row r="4" spans="1:3" x14ac:dyDescent="0.35">
      <c r="A4">
        <v>2001</v>
      </c>
      <c r="B4" s="7">
        <f>'Persamaan 12'!C5</f>
        <v>12155.457</v>
      </c>
      <c r="C4">
        <f>'Persamaan 12'!R5</f>
        <v>12963.524840739999</v>
      </c>
    </row>
    <row r="5" spans="1:3" x14ac:dyDescent="0.35">
      <c r="A5">
        <v>2001</v>
      </c>
      <c r="B5" s="7">
        <f>'Persamaan 12'!C6</f>
        <v>12356.373500000002</v>
      </c>
      <c r="C5">
        <f>'Persamaan 12'!R6</f>
        <v>13023.896530624999</v>
      </c>
    </row>
    <row r="6" spans="1:3" x14ac:dyDescent="0.35">
      <c r="A6">
        <v>2002</v>
      </c>
      <c r="B6" s="7">
        <f>'Persamaan 12'!C7</f>
        <v>12557.29</v>
      </c>
      <c r="C6">
        <f>'Persamaan 12'!R7</f>
        <v>13081.25937571</v>
      </c>
    </row>
    <row r="7" spans="1:3" x14ac:dyDescent="0.35">
      <c r="A7">
        <v>2002</v>
      </c>
      <c r="B7" s="7">
        <f>'Persamaan 12'!C8</f>
        <v>12731.517500000002</v>
      </c>
      <c r="C7">
        <f>'Persamaan 12'!R8</f>
        <v>13079.174562852499</v>
      </c>
    </row>
    <row r="8" spans="1:3" x14ac:dyDescent="0.35">
      <c r="A8">
        <v>2003</v>
      </c>
      <c r="B8" s="7">
        <f>'Persamaan 12'!C9</f>
        <v>12905.745000000001</v>
      </c>
      <c r="C8">
        <f>'Persamaan 12'!R9</f>
        <v>13068.582185195</v>
      </c>
    </row>
    <row r="9" spans="1:3" x14ac:dyDescent="0.35">
      <c r="A9">
        <v>2003</v>
      </c>
      <c r="B9" s="7">
        <f>'Persamaan 12'!C10</f>
        <v>13084.807000000001</v>
      </c>
      <c r="C9">
        <f>'Persamaan 12'!R10</f>
        <v>12997.930275147501</v>
      </c>
    </row>
    <row r="10" spans="1:3" x14ac:dyDescent="0.35">
      <c r="A10">
        <v>2004</v>
      </c>
      <c r="B10" s="7">
        <f>'Persamaan 12'!C11</f>
        <v>13263.869000000001</v>
      </c>
      <c r="C10">
        <f>'Persamaan 12'!R11</f>
        <v>12915.020590700002</v>
      </c>
    </row>
    <row r="11" spans="1:3" x14ac:dyDescent="0.35">
      <c r="A11">
        <v>2004</v>
      </c>
      <c r="B11" s="7">
        <f>'Persamaan 12'!C12</f>
        <v>13426.949500000001</v>
      </c>
      <c r="C11">
        <f>'Persamaan 12'!R12</f>
        <v>13059.722544862499</v>
      </c>
    </row>
    <row r="12" spans="1:3" x14ac:dyDescent="0.35">
      <c r="A12">
        <v>2005</v>
      </c>
      <c r="B12" s="7">
        <f>'Persamaan 12'!C13</f>
        <v>13590.03</v>
      </c>
      <c r="C12">
        <f>'Persamaan 12'!R13</f>
        <v>13205.390886865</v>
      </c>
    </row>
    <row r="13" spans="1:3" x14ac:dyDescent="0.35">
      <c r="A13">
        <v>2005</v>
      </c>
      <c r="B13" s="7">
        <f>'Persamaan 12'!C14</f>
        <v>13792.971000000001</v>
      </c>
      <c r="C13">
        <f>'Persamaan 12'!R14</f>
        <v>13413.859511897499</v>
      </c>
    </row>
    <row r="14" spans="1:3" x14ac:dyDescent="0.35">
      <c r="A14">
        <v>2006</v>
      </c>
      <c r="B14" s="7">
        <f>'Persamaan 12'!C15</f>
        <v>13995.912</v>
      </c>
      <c r="C14">
        <f>'Persamaan 12'!R15</f>
        <v>13622.35833773</v>
      </c>
    </row>
    <row r="15" spans="1:3" x14ac:dyDescent="0.35">
      <c r="A15">
        <v>2006</v>
      </c>
      <c r="B15" s="7">
        <f>'Persamaan 12'!C16</f>
        <v>14167.9925</v>
      </c>
      <c r="C15">
        <f>'Persamaan 12'!R16</f>
        <v>13705.952633397501</v>
      </c>
    </row>
    <row r="16" spans="1:3" x14ac:dyDescent="0.35">
      <c r="A16">
        <v>2007</v>
      </c>
      <c r="B16" s="7">
        <f>'Persamaan 12'!C17</f>
        <v>14340.073</v>
      </c>
      <c r="C16">
        <f>'Persamaan 12'!R17</f>
        <v>13786.573624745</v>
      </c>
    </row>
    <row r="17" spans="1:3" x14ac:dyDescent="0.35">
      <c r="A17">
        <v>2007</v>
      </c>
      <c r="B17" s="7">
        <f>'Persamaan 12'!C18</f>
        <v>14486.4005</v>
      </c>
      <c r="C17">
        <f>'Persamaan 12'!R18</f>
        <v>13929.002962182502</v>
      </c>
    </row>
    <row r="18" spans="1:3" x14ac:dyDescent="0.35">
      <c r="A18">
        <v>2008</v>
      </c>
      <c r="B18" s="7">
        <f>'Persamaan 12'!C19</f>
        <v>14632.727999999999</v>
      </c>
      <c r="C18">
        <f>'Persamaan 12'!R19</f>
        <v>14072.01047994</v>
      </c>
    </row>
    <row r="19" spans="1:3" x14ac:dyDescent="0.35">
      <c r="A19">
        <v>2008</v>
      </c>
      <c r="B19" s="7">
        <f>'Persamaan 12'!C20</f>
        <v>14851.2395</v>
      </c>
      <c r="C19">
        <f>'Persamaan 12'!R20</f>
        <v>14213.713708502499</v>
      </c>
    </row>
    <row r="20" spans="1:3" x14ac:dyDescent="0.35">
      <c r="A20">
        <v>2009</v>
      </c>
      <c r="B20" s="7">
        <f>'Persamaan 12'!C21</f>
        <v>15069.751</v>
      </c>
      <c r="C20">
        <f>'Persamaan 12'!R21</f>
        <v>14354.059713865001</v>
      </c>
    </row>
    <row r="21" spans="1:3" x14ac:dyDescent="0.35">
      <c r="A21">
        <v>2009</v>
      </c>
      <c r="B21" s="7">
        <f>'Persamaan 12'!C22</f>
        <v>15255.0345</v>
      </c>
      <c r="C21">
        <f>'Persamaan 12'!R22</f>
        <v>14607.149471997498</v>
      </c>
    </row>
    <row r="22" spans="1:3" x14ac:dyDescent="0.35">
      <c r="A22">
        <v>2010</v>
      </c>
      <c r="B22" s="7">
        <f>'Persamaan 12'!C23</f>
        <v>15440.317999999999</v>
      </c>
      <c r="C22">
        <f>'Persamaan 12'!R23</f>
        <v>14855.236760849999</v>
      </c>
    </row>
    <row r="23" spans="1:3" x14ac:dyDescent="0.35">
      <c r="A23">
        <v>2010</v>
      </c>
      <c r="B23" s="7">
        <f>'Persamaan 12'!C24</f>
        <v>15712.0425</v>
      </c>
      <c r="C23">
        <f>'Persamaan 12'!R24</f>
        <v>15036.236164145001</v>
      </c>
    </row>
    <row r="24" spans="1:3" x14ac:dyDescent="0.35">
      <c r="A24">
        <v>2011</v>
      </c>
      <c r="B24" s="7">
        <f>'Persamaan 12'!C25</f>
        <v>15983.767</v>
      </c>
      <c r="C24">
        <f>'Persamaan 12'!R25</f>
        <v>15217.573553200002</v>
      </c>
    </row>
    <row r="25" spans="1:3" x14ac:dyDescent="0.35">
      <c r="A25">
        <v>2011</v>
      </c>
      <c r="B25" s="7">
        <f>'Persamaan 12'!C26</f>
        <v>16729.378000000001</v>
      </c>
      <c r="C25">
        <f>'Persamaan 12'!R26</f>
        <v>16308.71279944</v>
      </c>
    </row>
    <row r="26" spans="1:3" x14ac:dyDescent="0.35">
      <c r="A26">
        <v>2012</v>
      </c>
      <c r="B26" s="7">
        <f>'Persamaan 12'!C27</f>
        <v>17474.989000000001</v>
      </c>
      <c r="C26">
        <f>'Persamaan 12'!R27</f>
        <v>17406.385068080002</v>
      </c>
    </row>
    <row r="27" spans="1:3" x14ac:dyDescent="0.35">
      <c r="A27">
        <v>2012</v>
      </c>
      <c r="B27" s="7">
        <f>'Persamaan 12'!C28</f>
        <v>17177.185000000001</v>
      </c>
      <c r="C27">
        <f>'Persamaan 12'!R28</f>
        <v>17254.50148015</v>
      </c>
    </row>
    <row r="28" spans="1:3" x14ac:dyDescent="0.35">
      <c r="A28">
        <v>2013</v>
      </c>
      <c r="B28" s="7">
        <f>'Persamaan 12'!C29</f>
        <v>16879.381000000001</v>
      </c>
      <c r="C28">
        <f>'Persamaan 12'!R29</f>
        <v>17105.060223740002</v>
      </c>
    </row>
    <row r="29" spans="1:3" x14ac:dyDescent="0.35">
      <c r="A29">
        <v>2013</v>
      </c>
      <c r="B29" s="7">
        <f>'Persamaan 12'!C30</f>
        <v>16928.809500000003</v>
      </c>
      <c r="C29">
        <f>'Persamaan 12'!R30</f>
        <v>17179.96460358</v>
      </c>
    </row>
    <row r="30" spans="1:3" x14ac:dyDescent="0.35">
      <c r="A30">
        <v>2014</v>
      </c>
      <c r="B30" s="7">
        <f>'Persamaan 12'!C31</f>
        <v>16978.238000000001</v>
      </c>
      <c r="C30">
        <f>'Persamaan 12'!R31</f>
        <v>17249.339022619999</v>
      </c>
    </row>
    <row r="31" spans="1:3" x14ac:dyDescent="0.35">
      <c r="A31">
        <v>2014</v>
      </c>
      <c r="B31" s="7">
        <f>'Persamaan 12'!C32</f>
        <v>17128.3145</v>
      </c>
      <c r="C31">
        <f>'Persamaan 12'!R32</f>
        <v>17225.743187649998</v>
      </c>
    </row>
    <row r="32" spans="1:3" x14ac:dyDescent="0.35">
      <c r="A32">
        <v>2015</v>
      </c>
      <c r="B32" s="7">
        <f>'Persamaan 12'!C33</f>
        <v>17278.391</v>
      </c>
      <c r="C32">
        <f>'Persamaan 12'!R33</f>
        <v>17199.727828679999</v>
      </c>
    </row>
    <row r="33" spans="1:3" x14ac:dyDescent="0.35">
      <c r="A33">
        <v>2015</v>
      </c>
      <c r="B33" s="7">
        <f>'Persamaan 12'!C34</f>
        <v>17478.3125</v>
      </c>
      <c r="C33">
        <f>'Persamaan 12'!R34</f>
        <v>17882.298151539999</v>
      </c>
    </row>
    <row r="34" spans="1:3" x14ac:dyDescent="0.35">
      <c r="A34">
        <v>2016</v>
      </c>
      <c r="B34" s="7">
        <f>'Persamaan 12'!C35</f>
        <v>17678.234</v>
      </c>
      <c r="C34">
        <f>'Persamaan 12'!R35</f>
        <v>18564.313488</v>
      </c>
    </row>
    <row r="35" spans="1:3" x14ac:dyDescent="0.35">
      <c r="A35">
        <v>2016</v>
      </c>
      <c r="B35" s="7">
        <f>'Persamaan 12'!C36</f>
        <v>17917.478500000001</v>
      </c>
      <c r="C35">
        <f>'Persamaan 12'!R36</f>
        <v>18784.293685050001</v>
      </c>
    </row>
    <row r="36" spans="1:3" x14ac:dyDescent="0.35">
      <c r="A36">
        <v>2017</v>
      </c>
      <c r="B36" s="7">
        <f>'Persamaan 12'!C37</f>
        <v>18156.723000000002</v>
      </c>
      <c r="C36">
        <f>'Persamaan 12'!R37</f>
        <v>19001.844384660002</v>
      </c>
    </row>
    <row r="37" spans="1:3" x14ac:dyDescent="0.35">
      <c r="A37">
        <v>2017</v>
      </c>
      <c r="B37" s="7">
        <f>'Persamaan 12'!C38</f>
        <v>18462.329000000002</v>
      </c>
      <c r="C37">
        <f>'Persamaan 12'!R38</f>
        <v>19255.926474049993</v>
      </c>
    </row>
    <row r="38" spans="1:3" x14ac:dyDescent="0.35">
      <c r="A38">
        <v>2018</v>
      </c>
      <c r="B38" s="7">
        <f>'Persamaan 12'!C39</f>
        <v>18767.935000000001</v>
      </c>
      <c r="C38">
        <f>'Persamaan 12'!R39</f>
        <v>19508.423144879998</v>
      </c>
    </row>
    <row r="39" spans="1:3" x14ac:dyDescent="0.35">
      <c r="A39">
        <v>2018</v>
      </c>
      <c r="B39" s="7">
        <f>'Persamaan 12'!C40</f>
        <v>19518.652399999999</v>
      </c>
      <c r="C39">
        <f>'Persamaan 12'!R40</f>
        <v>19846.6502616</v>
      </c>
    </row>
    <row r="40" spans="1:3" x14ac:dyDescent="0.35">
      <c r="A40">
        <v>2019</v>
      </c>
      <c r="B40" s="7">
        <f>'Persamaan 12'!C41</f>
        <v>20269.3698</v>
      </c>
      <c r="C40">
        <f>'Persamaan 12'!R41</f>
        <v>20185.321235920001</v>
      </c>
    </row>
    <row r="41" spans="1:3" x14ac:dyDescent="0.35">
      <c r="A41">
        <v>2019</v>
      </c>
      <c r="B41" s="7">
        <f>'Persamaan 12'!C42</f>
        <v>22093.613082</v>
      </c>
      <c r="C41">
        <f>'Persamaan 12'!R42</f>
        <v>21518.695173159998</v>
      </c>
    </row>
    <row r="42" spans="1:3" x14ac:dyDescent="0.35">
      <c r="A42">
        <v>2020</v>
      </c>
      <c r="B42" s="7">
        <f>'Persamaan 12'!C43</f>
        <v>23917.856363999999</v>
      </c>
      <c r="C42">
        <f>'Persamaan 12'!R43</f>
        <v>22849.898689920003</v>
      </c>
    </row>
    <row r="43" spans="1:3" x14ac:dyDescent="0.35">
      <c r="A43">
        <v>2020</v>
      </c>
      <c r="B43" s="7">
        <f>'Persamaan 12'!C44</f>
        <v>23005.734723000001</v>
      </c>
      <c r="C43">
        <f>'Persamaan 12'!R44</f>
        <v>22184.568234099999</v>
      </c>
    </row>
    <row r="44" spans="1:3" x14ac:dyDescent="0.35">
      <c r="A44">
        <v>2021</v>
      </c>
      <c r="B44" s="7">
        <f>'Persamaan 12'!C45</f>
        <v>20959.958929935001</v>
      </c>
      <c r="C44">
        <f>'Persamaan 12'!R45</f>
        <v>21313.502717203552</v>
      </c>
    </row>
    <row r="45" spans="1:3" x14ac:dyDescent="0.35">
      <c r="A45">
        <v>2021</v>
      </c>
      <c r="B45" s="7">
        <f>'Persamaan 12'!C46</f>
        <v>21191.333679312898</v>
      </c>
      <c r="C45">
        <f>'Persamaan 12'!R46</f>
        <v>21729.994313597497</v>
      </c>
    </row>
    <row r="46" spans="1:3" x14ac:dyDescent="0.35">
      <c r="A46">
        <v>2022</v>
      </c>
      <c r="B46" s="7">
        <f>'Persamaan 12'!C47</f>
        <v>21422.708428690799</v>
      </c>
      <c r="C46">
        <f>'Persamaan 12'!R47</f>
        <v>22163.321203623513</v>
      </c>
    </row>
    <row r="47" spans="1:3" x14ac:dyDescent="0.35">
      <c r="A47">
        <v>2022</v>
      </c>
      <c r="B47" s="7">
        <f>'Persamaan 12'!C48</f>
        <v>21654.0831780687</v>
      </c>
      <c r="C47">
        <f>'Persamaan 12'!R48</f>
        <v>22429.890489681562</v>
      </c>
    </row>
    <row r="48" spans="1:3" x14ac:dyDescent="0.35">
      <c r="A48">
        <v>2023</v>
      </c>
      <c r="B48" s="7">
        <f>'Persamaan 12'!C49</f>
        <v>21885.457927446601</v>
      </c>
    </row>
    <row r="49" spans="1:2" x14ac:dyDescent="0.35">
      <c r="A49">
        <v>2024</v>
      </c>
      <c r="B49" s="7">
        <f>'Persamaan 12'!C50</f>
        <v>22116.832676824601</v>
      </c>
    </row>
    <row r="50" spans="1:2" x14ac:dyDescent="0.35">
      <c r="A50">
        <v>2025</v>
      </c>
      <c r="B50" s="7">
        <f>'Persamaan 12'!C51</f>
        <v>22348.207426202502</v>
      </c>
    </row>
    <row r="51" spans="1:2" x14ac:dyDescent="0.35">
      <c r="A51">
        <v>2026</v>
      </c>
      <c r="B51" s="7">
        <f>'Persamaan 12'!C52</f>
        <v>22579.582175580399</v>
      </c>
    </row>
    <row r="52" spans="1:2" x14ac:dyDescent="0.35">
      <c r="A52">
        <v>2027</v>
      </c>
      <c r="B52" s="7">
        <f>'Persamaan 12'!C53</f>
        <v>22810.956924958398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D6C5-5038-464F-95FD-867E60135851}">
  <dimension ref="A1:M18"/>
  <sheetViews>
    <sheetView topLeftCell="A12" workbookViewId="0">
      <selection activeCell="H16" sqref="H16"/>
    </sheetView>
  </sheetViews>
  <sheetFormatPr defaultRowHeight="14.5" x14ac:dyDescent="0.35"/>
  <cols>
    <col min="1" max="1" width="13.81640625" bestFit="1" customWidth="1"/>
    <col min="2" max="2" width="13.26953125" customWidth="1"/>
    <col min="6" max="6" width="11" customWidth="1"/>
    <col min="8" max="8" width="12.90625" bestFit="1" customWidth="1"/>
    <col min="9" max="9" width="9.26953125" bestFit="1" customWidth="1"/>
    <col min="11" max="11" width="11.81640625" bestFit="1" customWidth="1"/>
    <col min="12" max="12" width="9.26953125" bestFit="1" customWidth="1"/>
  </cols>
  <sheetData>
    <row r="1" spans="1:13" ht="31.5" thickBot="1" x14ac:dyDescent="0.4">
      <c r="A1" s="70" t="s">
        <v>441</v>
      </c>
      <c r="B1" s="71" t="s">
        <v>442</v>
      </c>
    </row>
    <row r="2" spans="1:13" ht="15.5" x14ac:dyDescent="0.35">
      <c r="A2" t="s">
        <v>129</v>
      </c>
      <c r="B2" s="27">
        <v>-1.6671999999999999E-2</v>
      </c>
      <c r="G2" s="78" t="s">
        <v>128</v>
      </c>
      <c r="H2" t="s">
        <v>129</v>
      </c>
      <c r="I2" t="s">
        <v>336</v>
      </c>
      <c r="J2" t="s">
        <v>132</v>
      </c>
      <c r="K2" t="s">
        <v>133</v>
      </c>
      <c r="L2" t="s">
        <v>134</v>
      </c>
      <c r="M2" s="77"/>
    </row>
    <row r="3" spans="1:13" ht="14.5" customHeight="1" x14ac:dyDescent="0.35">
      <c r="A3" t="s">
        <v>336</v>
      </c>
      <c r="B3" s="27">
        <v>1.1396E-2</v>
      </c>
      <c r="F3" t="s">
        <v>459</v>
      </c>
      <c r="G3" s="11">
        <f>AVERAGE('Persamaan 12'!C3:C48)</f>
        <v>16448.151317065382</v>
      </c>
      <c r="H3" s="11">
        <f>AVERAGE('Persamaan 12'!H3:H48)</f>
        <v>202263.33404891295</v>
      </c>
      <c r="I3" s="11">
        <f>AVERAGE('Persamaan 12'!K3:K48)</f>
        <v>227556.11986820752</v>
      </c>
      <c r="J3" s="11">
        <f>AVERAGE('Persamaan 12'!L3:L48)</f>
        <v>3171.9471396564304</v>
      </c>
      <c r="K3" s="11">
        <f>AVERAGE('Persamaan 12'!M3:M48)</f>
        <v>68829.724090430303</v>
      </c>
      <c r="L3" s="11">
        <f>AVERAGE('Persamaan 12'!N3:N48)</f>
        <v>303134.9740532912</v>
      </c>
    </row>
    <row r="4" spans="1:13" ht="29" x14ac:dyDescent="0.35">
      <c r="A4" t="s">
        <v>132</v>
      </c>
      <c r="B4" s="27">
        <v>3.840605</v>
      </c>
      <c r="F4" s="80" t="s">
        <v>460</v>
      </c>
      <c r="H4">
        <f>H3/$G$3</f>
        <v>12.297025370812312</v>
      </c>
      <c r="I4">
        <f t="shared" ref="I4:L4" si="0">I3/$G$3</f>
        <v>13.834753552644678</v>
      </c>
      <c r="J4">
        <f t="shared" si="0"/>
        <v>0.1928452066443147</v>
      </c>
      <c r="K4">
        <f t="shared" si="0"/>
        <v>4.1846480351270658</v>
      </c>
      <c r="L4">
        <f t="shared" si="0"/>
        <v>18.429729165902117</v>
      </c>
    </row>
    <row r="5" spans="1:13" x14ac:dyDescent="0.35">
      <c r="A5" t="s">
        <v>133</v>
      </c>
      <c r="B5" s="27">
        <v>-2.2124000000000001E-2</v>
      </c>
      <c r="F5" t="s">
        <v>461</v>
      </c>
      <c r="H5" s="27">
        <v>-1.6671999999999999E-2</v>
      </c>
      <c r="I5" s="27">
        <v>1.1396E-2</v>
      </c>
      <c r="J5" s="27">
        <v>3.840605</v>
      </c>
      <c r="K5" s="27">
        <v>-2.2124000000000001E-2</v>
      </c>
      <c r="L5" s="27">
        <v>1.6795999999999998E-2</v>
      </c>
    </row>
    <row r="6" spans="1:13" x14ac:dyDescent="0.35">
      <c r="A6" t="s">
        <v>134</v>
      </c>
      <c r="B6" s="27">
        <v>1.6795999999999998E-2</v>
      </c>
      <c r="F6" t="s">
        <v>462</v>
      </c>
      <c r="H6">
        <f>H5*H4</f>
        <v>-0.20501600698218286</v>
      </c>
      <c r="I6">
        <f t="shared" ref="I6:L6" si="1">I5*I4</f>
        <v>0.15766085148593875</v>
      </c>
      <c r="J6">
        <f t="shared" si="1"/>
        <v>0.74064226486418827</v>
      </c>
      <c r="K6">
        <f t="shared" si="1"/>
        <v>-9.2581153129151217E-2</v>
      </c>
      <c r="L6">
        <f t="shared" si="1"/>
        <v>0.30954573107049194</v>
      </c>
    </row>
    <row r="7" spans="1:13" ht="14.5" customHeight="1" x14ac:dyDescent="0.35">
      <c r="A7" t="s">
        <v>333</v>
      </c>
      <c r="B7">
        <v>1510.414</v>
      </c>
      <c r="F7" t="s">
        <v>463</v>
      </c>
    </row>
    <row r="8" spans="1:13" ht="14.5" customHeight="1" x14ac:dyDescent="0.35"/>
    <row r="10" spans="1:13" ht="31.5" customHeight="1" x14ac:dyDescent="0.35">
      <c r="A10" s="110" t="s">
        <v>441</v>
      </c>
      <c r="B10" s="110" t="s">
        <v>442</v>
      </c>
      <c r="C10" s="110" t="s">
        <v>615</v>
      </c>
      <c r="D10" s="112" t="s">
        <v>625</v>
      </c>
      <c r="E10" s="112"/>
      <c r="F10" s="110" t="s">
        <v>616</v>
      </c>
    </row>
    <row r="11" spans="1:13" ht="15.5" x14ac:dyDescent="0.35">
      <c r="A11" s="111"/>
      <c r="B11" s="111"/>
      <c r="C11" s="111"/>
      <c r="D11" s="92" t="s">
        <v>626</v>
      </c>
      <c r="E11" s="92" t="s">
        <v>627</v>
      </c>
      <c r="F11" s="111"/>
    </row>
    <row r="12" spans="1:13" ht="170.5" x14ac:dyDescent="0.35">
      <c r="A12" s="90" t="s">
        <v>213</v>
      </c>
      <c r="B12" s="90" t="s">
        <v>617</v>
      </c>
      <c r="C12" s="91">
        <v>1299</v>
      </c>
      <c r="D12" s="72">
        <v>-0.20501600698218286</v>
      </c>
      <c r="E12" s="67"/>
      <c r="F12" s="69" t="s">
        <v>628</v>
      </c>
    </row>
    <row r="13" spans="1:13" ht="155" x14ac:dyDescent="0.35">
      <c r="A13" s="90" t="s">
        <v>214</v>
      </c>
      <c r="B13" s="90" t="s">
        <v>618</v>
      </c>
      <c r="C13" s="91">
        <v>1712</v>
      </c>
      <c r="D13" s="72">
        <v>0.15766085148593875</v>
      </c>
      <c r="E13" s="67"/>
      <c r="F13" s="69" t="s">
        <v>629</v>
      </c>
    </row>
    <row r="14" spans="1:13" ht="108.5" x14ac:dyDescent="0.35">
      <c r="A14" s="90" t="s">
        <v>132</v>
      </c>
      <c r="B14" s="91">
        <v>3840</v>
      </c>
      <c r="C14" s="90" t="s">
        <v>619</v>
      </c>
      <c r="D14" s="72">
        <v>0.74064226486418827</v>
      </c>
      <c r="E14" s="67"/>
      <c r="F14" s="69" t="s">
        <v>630</v>
      </c>
    </row>
    <row r="15" spans="1:13" ht="124" x14ac:dyDescent="0.35">
      <c r="A15" s="90" t="s">
        <v>133</v>
      </c>
      <c r="B15" s="90" t="s">
        <v>620</v>
      </c>
      <c r="C15" s="90" t="s">
        <v>621</v>
      </c>
      <c r="D15" s="72">
        <v>-9.2581153129151217E-2</v>
      </c>
      <c r="E15" s="67"/>
      <c r="F15" s="69" t="s">
        <v>631</v>
      </c>
    </row>
    <row r="16" spans="1:13" ht="108.5" x14ac:dyDescent="0.35">
      <c r="A16" s="90" t="s">
        <v>134</v>
      </c>
      <c r="B16" s="90" t="s">
        <v>617</v>
      </c>
      <c r="C16" s="90" t="s">
        <v>622</v>
      </c>
      <c r="D16" s="72">
        <v>0.30954573107049194</v>
      </c>
      <c r="E16" s="67"/>
      <c r="F16" s="69" t="s">
        <v>632</v>
      </c>
    </row>
    <row r="17" spans="1:6" ht="15.5" x14ac:dyDescent="0.35">
      <c r="A17" s="67" t="s">
        <v>456</v>
      </c>
      <c r="B17" s="68">
        <v>1510414</v>
      </c>
      <c r="C17" s="67" t="s">
        <v>623</v>
      </c>
      <c r="D17" s="67"/>
      <c r="E17" s="67"/>
      <c r="F17" s="69"/>
    </row>
    <row r="18" spans="1:6" ht="15.5" x14ac:dyDescent="0.35">
      <c r="A18" s="109" t="s">
        <v>624</v>
      </c>
      <c r="B18" s="109"/>
      <c r="C18" s="109"/>
      <c r="D18" s="109"/>
      <c r="E18" s="109"/>
      <c r="F18" s="109"/>
    </row>
  </sheetData>
  <mergeCells count="6">
    <mergeCell ref="A18:F18"/>
    <mergeCell ref="D10:E10"/>
    <mergeCell ref="A10:A11"/>
    <mergeCell ref="B10:B11"/>
    <mergeCell ref="C10:C11"/>
    <mergeCell ref="F10:F1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P22"/>
  <sheetViews>
    <sheetView workbookViewId="0">
      <selection activeCell="I20" sqref="I20"/>
    </sheetView>
  </sheetViews>
  <sheetFormatPr defaultRowHeight="14.5" x14ac:dyDescent="0.35"/>
  <cols>
    <col min="3" max="3" width="12" bestFit="1" customWidth="1"/>
    <col min="8" max="8" width="8.26953125" bestFit="1" customWidth="1"/>
    <col min="9" max="9" width="11.453125" bestFit="1" customWidth="1"/>
    <col min="56" max="56" width="12" bestFit="1" customWidth="1"/>
    <col min="59" max="60" width="10.7265625" bestFit="1" customWidth="1"/>
  </cols>
  <sheetData>
    <row r="1" spans="1:94" x14ac:dyDescent="0.35">
      <c r="A1" t="s">
        <v>109</v>
      </c>
      <c r="B1" t="s">
        <v>81</v>
      </c>
      <c r="C1" t="s">
        <v>160</v>
      </c>
      <c r="D1" t="s">
        <v>155</v>
      </c>
      <c r="E1" t="s">
        <v>156</v>
      </c>
      <c r="F1" t="s">
        <v>82</v>
      </c>
      <c r="G1" t="s">
        <v>161</v>
      </c>
      <c r="H1" t="s">
        <v>130</v>
      </c>
      <c r="I1" t="s">
        <v>162</v>
      </c>
      <c r="J1" t="s">
        <v>163</v>
      </c>
      <c r="K1" t="s">
        <v>164</v>
      </c>
      <c r="L1" t="s">
        <v>84</v>
      </c>
      <c r="M1" t="s">
        <v>83</v>
      </c>
      <c r="N1" t="s">
        <v>85</v>
      </c>
      <c r="O1" t="s">
        <v>165</v>
      </c>
      <c r="P1" t="s">
        <v>86</v>
      </c>
      <c r="Q1" t="s">
        <v>87</v>
      </c>
      <c r="R1" t="s">
        <v>166</v>
      </c>
      <c r="S1" t="s">
        <v>105</v>
      </c>
      <c r="T1" t="s">
        <v>137</v>
      </c>
      <c r="U1" t="s">
        <v>96</v>
      </c>
      <c r="V1" t="s">
        <v>106</v>
      </c>
      <c r="W1" t="s">
        <v>122</v>
      </c>
      <c r="X1" t="s">
        <v>138</v>
      </c>
      <c r="Y1" t="s">
        <v>208</v>
      </c>
      <c r="Z1" t="s">
        <v>141</v>
      </c>
      <c r="AA1" t="s">
        <v>111</v>
      </c>
      <c r="AB1" t="s">
        <v>167</v>
      </c>
      <c r="AC1" t="s">
        <v>168</v>
      </c>
      <c r="AD1" t="s">
        <v>136</v>
      </c>
      <c r="AE1" t="s">
        <v>97</v>
      </c>
      <c r="AF1" t="s">
        <v>98</v>
      </c>
      <c r="AG1" t="s">
        <v>99</v>
      </c>
      <c r="AH1" t="s">
        <v>100</v>
      </c>
      <c r="AI1" t="s">
        <v>169</v>
      </c>
      <c r="AJ1" t="s">
        <v>170</v>
      </c>
      <c r="AK1" t="s">
        <v>103</v>
      </c>
      <c r="AL1" t="s">
        <v>171</v>
      </c>
      <c r="AM1" t="s">
        <v>215</v>
      </c>
      <c r="AN1" t="s">
        <v>106</v>
      </c>
      <c r="AO1" t="s">
        <v>108</v>
      </c>
      <c r="AP1" t="s">
        <v>67</v>
      </c>
      <c r="AQ1" t="s">
        <v>185</v>
      </c>
      <c r="AR1" t="s">
        <v>172</v>
      </c>
      <c r="AS1" t="s">
        <v>114</v>
      </c>
      <c r="AT1" t="s">
        <v>184</v>
      </c>
      <c r="AU1" t="s">
        <v>115</v>
      </c>
      <c r="AV1" t="s">
        <v>209</v>
      </c>
      <c r="AW1" t="s">
        <v>118</v>
      </c>
      <c r="AX1" t="s">
        <v>119</v>
      </c>
      <c r="AY1" t="s">
        <v>112</v>
      </c>
      <c r="AZ1" t="s">
        <v>210</v>
      </c>
      <c r="BA1" t="s">
        <v>211</v>
      </c>
      <c r="BB1" t="s">
        <v>186</v>
      </c>
      <c r="BC1" t="s">
        <v>113</v>
      </c>
      <c r="BD1" t="s">
        <v>212</v>
      </c>
      <c r="BE1" t="s">
        <v>127</v>
      </c>
      <c r="BF1" t="s">
        <v>128</v>
      </c>
      <c r="BG1" t="s">
        <v>213</v>
      </c>
      <c r="BH1" t="s">
        <v>214</v>
      </c>
      <c r="BI1" t="s">
        <v>132</v>
      </c>
      <c r="BJ1" t="s">
        <v>133</v>
      </c>
      <c r="BK1" t="s">
        <v>134</v>
      </c>
      <c r="BL1" t="s">
        <v>145</v>
      </c>
      <c r="BM1" t="s">
        <v>146</v>
      </c>
      <c r="BN1" t="s">
        <v>147</v>
      </c>
      <c r="BO1" t="s">
        <v>148</v>
      </c>
      <c r="BP1" t="s">
        <v>149</v>
      </c>
      <c r="BQ1" t="s">
        <v>150</v>
      </c>
      <c r="BR1" t="s">
        <v>187</v>
      </c>
      <c r="BS1" t="s">
        <v>153</v>
      </c>
      <c r="BT1" t="s">
        <v>154</v>
      </c>
      <c r="BU1" t="s">
        <v>158</v>
      </c>
      <c r="BV1" t="s">
        <v>188</v>
      </c>
      <c r="BW1" t="s">
        <v>135</v>
      </c>
      <c r="BX1" t="s">
        <v>127</v>
      </c>
      <c r="BY1" t="s">
        <v>192</v>
      </c>
      <c r="BZ1" t="s">
        <v>193</v>
      </c>
      <c r="CA1" t="s">
        <v>194</v>
      </c>
      <c r="CB1" t="s">
        <v>195</v>
      </c>
      <c r="CC1" t="s">
        <v>196</v>
      </c>
      <c r="CD1" t="s">
        <v>197</v>
      </c>
      <c r="CE1" t="s">
        <v>152</v>
      </c>
      <c r="CF1" t="s">
        <v>198</v>
      </c>
      <c r="CG1" t="s">
        <v>199</v>
      </c>
      <c r="CH1" t="s">
        <v>200</v>
      </c>
      <c r="CI1" t="s">
        <v>201</v>
      </c>
      <c r="CJ1" t="s">
        <v>202</v>
      </c>
      <c r="CK1" t="s">
        <v>203</v>
      </c>
      <c r="CL1" t="s">
        <v>204</v>
      </c>
      <c r="CM1" t="s">
        <v>205</v>
      </c>
      <c r="CN1" t="s">
        <v>157</v>
      </c>
      <c r="CO1" t="s">
        <v>206</v>
      </c>
      <c r="CP1" t="s">
        <v>207</v>
      </c>
    </row>
    <row r="2" spans="1:94" x14ac:dyDescent="0.35">
      <c r="A2">
        <v>2000</v>
      </c>
      <c r="B2">
        <v>375.798</v>
      </c>
      <c r="C2">
        <v>1.8</v>
      </c>
      <c r="D2">
        <v>61.811</v>
      </c>
      <c r="E2">
        <v>2249</v>
      </c>
      <c r="F2">
        <v>31.33</v>
      </c>
      <c r="G2">
        <v>371848</v>
      </c>
      <c r="H2">
        <v>129</v>
      </c>
      <c r="I2">
        <v>32.06</v>
      </c>
      <c r="J2">
        <v>2.64</v>
      </c>
      <c r="K2">
        <v>131</v>
      </c>
      <c r="L2">
        <v>11773.751339999999</v>
      </c>
      <c r="M2">
        <v>50768.751340000003</v>
      </c>
      <c r="N2">
        <v>38995</v>
      </c>
      <c r="O2">
        <v>6000.8664083880003</v>
      </c>
      <c r="P2">
        <v>0.1182</v>
      </c>
      <c r="Q2">
        <v>2.3999999999999998E-3</v>
      </c>
      <c r="R2">
        <v>47287.096799999999</v>
      </c>
      <c r="S2">
        <v>19702957</v>
      </c>
      <c r="T2">
        <v>922.22699999999998</v>
      </c>
      <c r="U2">
        <v>7081</v>
      </c>
      <c r="V2">
        <v>1526.345</v>
      </c>
      <c r="W2">
        <v>758.726</v>
      </c>
      <c r="X2">
        <v>1171.665</v>
      </c>
      <c r="Y2" s="7">
        <v>1147060</v>
      </c>
      <c r="Z2">
        <v>5.8000000000000003E-2</v>
      </c>
      <c r="AA2">
        <v>755.77080000000001</v>
      </c>
      <c r="AB2">
        <v>912947</v>
      </c>
      <c r="AC2">
        <v>23248.753769999999</v>
      </c>
      <c r="AD2">
        <v>758726</v>
      </c>
      <c r="AE2">
        <v>27275.254000000001</v>
      </c>
      <c r="AF2">
        <v>7081</v>
      </c>
      <c r="AG2">
        <v>229.16127800000001</v>
      </c>
      <c r="AH2">
        <v>43.812322881829559</v>
      </c>
      <c r="AI2">
        <v>3.3010299956639813</v>
      </c>
      <c r="AJ2">
        <v>26402.445</v>
      </c>
      <c r="AK2">
        <v>363.5</v>
      </c>
      <c r="AL2">
        <v>13078500</v>
      </c>
      <c r="AM2">
        <v>745783.06000000238</v>
      </c>
      <c r="AN2">
        <v>758726</v>
      </c>
      <c r="AO2">
        <v>6394</v>
      </c>
      <c r="AP2">
        <v>1890</v>
      </c>
      <c r="AQ2">
        <v>5753</v>
      </c>
      <c r="AR2">
        <v>4347</v>
      </c>
      <c r="AS2">
        <v>2073</v>
      </c>
      <c r="AT2">
        <v>5753</v>
      </c>
      <c r="AU2">
        <v>1406</v>
      </c>
      <c r="AV2">
        <v>2324219</v>
      </c>
      <c r="AW2">
        <v>1483290</v>
      </c>
      <c r="AX2">
        <v>1984</v>
      </c>
      <c r="AY2">
        <v>687</v>
      </c>
      <c r="AZ2">
        <v>50768.751340000003</v>
      </c>
      <c r="BA2">
        <v>8.8377071903647016E-3</v>
      </c>
      <c r="BB2">
        <v>1872</v>
      </c>
      <c r="BC2">
        <v>687</v>
      </c>
      <c r="BD2">
        <v>50768.751340000003</v>
      </c>
      <c r="BE2">
        <v>1948.59</v>
      </c>
      <c r="BF2">
        <v>11778.637000000001</v>
      </c>
      <c r="BG2">
        <v>59213.7</v>
      </c>
      <c r="BH2">
        <v>135450</v>
      </c>
      <c r="BI2">
        <v>1816.3019999999999</v>
      </c>
      <c r="BJ2">
        <v>22000</v>
      </c>
      <c r="BK2">
        <v>258531</v>
      </c>
      <c r="BL2">
        <v>59.86</v>
      </c>
      <c r="BM2">
        <v>69.75</v>
      </c>
      <c r="BN2">
        <v>500</v>
      </c>
      <c r="BO2">
        <v>90.54</v>
      </c>
      <c r="BP2">
        <v>2554</v>
      </c>
      <c r="BQ2">
        <v>23514.57</v>
      </c>
      <c r="BR2">
        <v>59.37</v>
      </c>
      <c r="BS2">
        <v>105.65</v>
      </c>
      <c r="BT2">
        <v>580.33000000000004</v>
      </c>
      <c r="BU2">
        <v>67.56</v>
      </c>
      <c r="BV2">
        <v>100.32</v>
      </c>
      <c r="BW2">
        <v>11566621</v>
      </c>
      <c r="BX2">
        <v>1948.59</v>
      </c>
      <c r="BY2">
        <v>32.619999999999997</v>
      </c>
      <c r="BZ2">
        <v>604489</v>
      </c>
      <c r="CA2">
        <v>140</v>
      </c>
      <c r="CB2">
        <v>1816302</v>
      </c>
      <c r="CC2">
        <v>22000</v>
      </c>
      <c r="CD2">
        <v>258531</v>
      </c>
      <c r="CE2">
        <v>59.86</v>
      </c>
      <c r="CF2">
        <v>69.75</v>
      </c>
      <c r="CG2">
        <v>500</v>
      </c>
      <c r="CH2">
        <v>90.54</v>
      </c>
      <c r="CI2">
        <v>59.37</v>
      </c>
      <c r="CJ2">
        <v>105.65</v>
      </c>
      <c r="CK2">
        <v>580.33000000000004</v>
      </c>
      <c r="CL2">
        <v>61.811</v>
      </c>
      <c r="CM2">
        <v>2249</v>
      </c>
      <c r="CN2">
        <v>66.849999999999994</v>
      </c>
      <c r="CO2">
        <v>67.56</v>
      </c>
      <c r="CP2">
        <v>100.32</v>
      </c>
    </row>
    <row r="3" spans="1:94" x14ac:dyDescent="0.35">
      <c r="A3">
        <v>2001</v>
      </c>
      <c r="B3">
        <v>379.74799999999999</v>
      </c>
      <c r="C3">
        <v>1.89</v>
      </c>
      <c r="D3">
        <v>71.046999999999997</v>
      </c>
      <c r="E3">
        <v>1654</v>
      </c>
      <c r="F3">
        <v>35.6</v>
      </c>
      <c r="G3">
        <v>375798</v>
      </c>
      <c r="H3">
        <v>127</v>
      </c>
      <c r="I3">
        <v>31.33</v>
      </c>
      <c r="J3">
        <v>2.73</v>
      </c>
      <c r="K3">
        <v>129</v>
      </c>
      <c r="L3">
        <v>13519.0288</v>
      </c>
      <c r="M3">
        <v>118701.0288</v>
      </c>
      <c r="N3">
        <v>105182</v>
      </c>
      <c r="O3">
        <v>13923.630678240001</v>
      </c>
      <c r="P3">
        <v>0.1173</v>
      </c>
      <c r="Q3">
        <v>2.5000000000000001E-3</v>
      </c>
      <c r="R3">
        <v>51363.287499999999</v>
      </c>
      <c r="S3">
        <v>20545315</v>
      </c>
      <c r="T3">
        <v>962.65899999999999</v>
      </c>
      <c r="U3">
        <v>7183</v>
      </c>
      <c r="V3">
        <v>1734.4829999999999</v>
      </c>
      <c r="W3">
        <v>770.28</v>
      </c>
      <c r="X3">
        <v>1237.239</v>
      </c>
      <c r="Y3" s="7">
        <v>1171665</v>
      </c>
      <c r="Z3">
        <v>5.3999999999999999E-2</v>
      </c>
      <c r="AA3">
        <v>761.39430000000004</v>
      </c>
      <c r="AB3">
        <v>922227</v>
      </c>
      <c r="AC3">
        <v>24067.032890000002</v>
      </c>
      <c r="AD3">
        <v>770280</v>
      </c>
      <c r="AE3">
        <v>27831.892</v>
      </c>
      <c r="AF3">
        <v>7183</v>
      </c>
      <c r="AG3">
        <v>230.56774100000001</v>
      </c>
      <c r="AH3">
        <v>44.389384885338963</v>
      </c>
      <c r="AI3">
        <v>3.3012470886362113</v>
      </c>
      <c r="AJ3">
        <v>27275.254000000001</v>
      </c>
      <c r="AK3">
        <v>367</v>
      </c>
      <c r="AL3">
        <v>14888600</v>
      </c>
      <c r="AM3">
        <v>1676394.5</v>
      </c>
      <c r="AN3">
        <v>770280</v>
      </c>
      <c r="AO3">
        <v>6491</v>
      </c>
      <c r="AP3">
        <v>2079</v>
      </c>
      <c r="AQ3">
        <v>6394</v>
      </c>
      <c r="AR3">
        <v>4781.7</v>
      </c>
      <c r="AS3">
        <v>2290</v>
      </c>
      <c r="AT3">
        <v>6394</v>
      </c>
      <c r="AU3">
        <v>1867</v>
      </c>
      <c r="AV3">
        <v>2382197</v>
      </c>
      <c r="AW3">
        <v>1675068</v>
      </c>
      <c r="AX3">
        <v>2182</v>
      </c>
      <c r="AY3">
        <v>692</v>
      </c>
      <c r="AZ3">
        <v>118701.0288</v>
      </c>
      <c r="BA3">
        <v>4.0165191002096172E-3</v>
      </c>
      <c r="BB3">
        <v>1890</v>
      </c>
      <c r="BC3">
        <v>692</v>
      </c>
      <c r="BD3">
        <v>118701.0288</v>
      </c>
      <c r="BE3">
        <v>2122.6590000000001</v>
      </c>
      <c r="BF3">
        <v>12155.457</v>
      </c>
      <c r="BG3">
        <v>74012.400000000009</v>
      </c>
      <c r="BH3">
        <v>139700</v>
      </c>
      <c r="BI3">
        <v>1870.548</v>
      </c>
      <c r="BJ3">
        <v>23500</v>
      </c>
      <c r="BK3">
        <v>263807</v>
      </c>
      <c r="BL3">
        <v>59.76</v>
      </c>
      <c r="BM3">
        <v>69.540000000000006</v>
      </c>
      <c r="BN3">
        <v>502</v>
      </c>
      <c r="BO3">
        <v>90.34</v>
      </c>
      <c r="BP3">
        <v>2628</v>
      </c>
      <c r="BQ3">
        <v>24545.48</v>
      </c>
      <c r="BR3">
        <v>59.86</v>
      </c>
      <c r="BS3">
        <v>99.65</v>
      </c>
      <c r="BT3">
        <v>620.01</v>
      </c>
      <c r="BU3">
        <v>67.88</v>
      </c>
      <c r="BV3">
        <v>105.65</v>
      </c>
      <c r="BW3">
        <v>13103582</v>
      </c>
      <c r="BX3">
        <v>2122.6590000000001</v>
      </c>
      <c r="BY3">
        <v>35.89</v>
      </c>
      <c r="BZ3">
        <v>648593</v>
      </c>
      <c r="CA3">
        <v>130</v>
      </c>
      <c r="CB3">
        <v>1870548</v>
      </c>
      <c r="CC3">
        <v>23500</v>
      </c>
      <c r="CD3">
        <v>263807</v>
      </c>
      <c r="CE3">
        <v>59.76</v>
      </c>
      <c r="CF3">
        <v>69.540000000000006</v>
      </c>
      <c r="CG3">
        <v>502</v>
      </c>
      <c r="CH3">
        <v>90.34</v>
      </c>
      <c r="CI3">
        <v>59.86</v>
      </c>
      <c r="CJ3">
        <v>99.65</v>
      </c>
      <c r="CK3">
        <v>620.01</v>
      </c>
      <c r="CL3">
        <v>71.046999999999997</v>
      </c>
      <c r="CM3">
        <v>1654</v>
      </c>
      <c r="CN3">
        <v>67.11</v>
      </c>
      <c r="CO3">
        <v>67.88</v>
      </c>
      <c r="CP3">
        <v>105.65</v>
      </c>
    </row>
    <row r="4" spans="1:94" x14ac:dyDescent="0.35">
      <c r="A4">
        <v>2002</v>
      </c>
      <c r="B4">
        <v>419.14800000000002</v>
      </c>
      <c r="C4">
        <v>1.9252173913043478</v>
      </c>
      <c r="D4">
        <v>85.599000000000004</v>
      </c>
      <c r="E4">
        <v>2467</v>
      </c>
      <c r="F4">
        <v>38.78</v>
      </c>
      <c r="G4">
        <v>379748</v>
      </c>
      <c r="H4">
        <v>129</v>
      </c>
      <c r="I4">
        <v>35.6</v>
      </c>
      <c r="J4">
        <v>2.87</v>
      </c>
      <c r="K4">
        <v>127</v>
      </c>
      <c r="L4">
        <v>16254.559440000001</v>
      </c>
      <c r="M4">
        <v>96454.559439999997</v>
      </c>
      <c r="N4">
        <v>80200</v>
      </c>
      <c r="O4">
        <v>12182.210857271999</v>
      </c>
      <c r="P4">
        <v>0.1263</v>
      </c>
      <c r="Q4">
        <v>2.5000000000000001E-3</v>
      </c>
      <c r="R4">
        <v>55051.755000000005</v>
      </c>
      <c r="S4">
        <v>22020702</v>
      </c>
      <c r="T4">
        <v>974.351</v>
      </c>
      <c r="U4">
        <v>7186</v>
      </c>
      <c r="V4">
        <v>1755.55</v>
      </c>
      <c r="W4">
        <v>786</v>
      </c>
      <c r="X4">
        <v>1306.4829999999999</v>
      </c>
      <c r="Y4" s="7">
        <v>1237239</v>
      </c>
      <c r="Z4">
        <v>5.2999999999999999E-2</v>
      </c>
      <c r="AA4">
        <v>829.79099999999994</v>
      </c>
      <c r="AB4">
        <v>962659</v>
      </c>
      <c r="AC4">
        <v>24558.196820000001</v>
      </c>
      <c r="AD4">
        <v>786000</v>
      </c>
      <c r="AE4">
        <v>28284.442999999999</v>
      </c>
      <c r="AF4">
        <v>7186</v>
      </c>
      <c r="AG4">
        <v>231.98283599999999</v>
      </c>
      <c r="AH4">
        <v>44.974047502876353</v>
      </c>
      <c r="AI4">
        <v>3.3014640731433</v>
      </c>
      <c r="AJ4">
        <v>27831.892</v>
      </c>
      <c r="AK4">
        <v>330</v>
      </c>
      <c r="AL4">
        <v>15832800</v>
      </c>
      <c r="AM4">
        <v>481861.02999999747</v>
      </c>
      <c r="AN4">
        <v>786000</v>
      </c>
      <c r="AO4">
        <v>6570</v>
      </c>
      <c r="AP4">
        <v>2214</v>
      </c>
      <c r="AQ4">
        <v>6491</v>
      </c>
      <c r="AR4">
        <v>5092.2</v>
      </c>
      <c r="AS4">
        <v>2316</v>
      </c>
      <c r="AT4">
        <v>6491</v>
      </c>
      <c r="AU4">
        <v>1781</v>
      </c>
      <c r="AV4">
        <v>2168100</v>
      </c>
      <c r="AW4">
        <v>1786598</v>
      </c>
      <c r="AX4">
        <v>2324</v>
      </c>
      <c r="AY4">
        <v>616</v>
      </c>
      <c r="AZ4">
        <v>96454.559439999997</v>
      </c>
      <c r="BA4">
        <v>7.0474311844346809E-3</v>
      </c>
      <c r="BB4">
        <v>2079</v>
      </c>
      <c r="BC4">
        <v>616</v>
      </c>
      <c r="BD4">
        <v>96454.559439999997</v>
      </c>
      <c r="BE4">
        <v>2373.4079999999999</v>
      </c>
      <c r="BF4">
        <v>12557.29</v>
      </c>
      <c r="BG4">
        <v>85858.92</v>
      </c>
      <c r="BH4">
        <v>148350</v>
      </c>
      <c r="BI4">
        <v>1930.39</v>
      </c>
      <c r="BJ4">
        <v>25000</v>
      </c>
      <c r="BK4">
        <v>264999</v>
      </c>
      <c r="BL4">
        <v>57.64</v>
      </c>
      <c r="BM4">
        <v>69.75</v>
      </c>
      <c r="BN4">
        <v>518</v>
      </c>
      <c r="BO4">
        <v>90.78</v>
      </c>
      <c r="BP4">
        <v>2729</v>
      </c>
      <c r="BQ4">
        <v>25304.62</v>
      </c>
      <c r="BR4">
        <v>59.76</v>
      </c>
      <c r="BS4">
        <v>101.65</v>
      </c>
      <c r="BT4">
        <v>662.4</v>
      </c>
      <c r="BU4">
        <v>68.2</v>
      </c>
      <c r="BV4">
        <v>99.65</v>
      </c>
      <c r="BW4">
        <v>12707977</v>
      </c>
      <c r="BX4">
        <v>2373.4079999999999</v>
      </c>
      <c r="BY4">
        <v>37.07</v>
      </c>
      <c r="BZ4">
        <v>700424</v>
      </c>
      <c r="CA4">
        <v>134</v>
      </c>
      <c r="CB4">
        <v>1930390</v>
      </c>
      <c r="CC4">
        <v>25000</v>
      </c>
      <c r="CD4">
        <v>264999</v>
      </c>
      <c r="CE4">
        <v>57.64</v>
      </c>
      <c r="CF4">
        <v>69.75</v>
      </c>
      <c r="CG4">
        <v>518</v>
      </c>
      <c r="CH4">
        <v>90.78</v>
      </c>
      <c r="CI4">
        <v>59.76</v>
      </c>
      <c r="CJ4">
        <v>101.65</v>
      </c>
      <c r="CK4">
        <v>662.4</v>
      </c>
      <c r="CL4">
        <v>85.599000000000004</v>
      </c>
      <c r="CM4">
        <v>2467</v>
      </c>
      <c r="CN4">
        <v>66.86</v>
      </c>
      <c r="CO4">
        <v>68.2</v>
      </c>
      <c r="CP4">
        <v>99.65</v>
      </c>
    </row>
    <row r="5" spans="1:94" x14ac:dyDescent="0.35">
      <c r="A5">
        <v>2003</v>
      </c>
      <c r="B5">
        <v>438.43900000000002</v>
      </c>
      <c r="C5">
        <v>2.0991666666666666</v>
      </c>
      <c r="D5">
        <v>95.11</v>
      </c>
      <c r="E5">
        <v>2019</v>
      </c>
      <c r="F5">
        <v>41.79</v>
      </c>
      <c r="G5">
        <v>419148</v>
      </c>
      <c r="H5">
        <v>126</v>
      </c>
      <c r="I5">
        <v>38.78</v>
      </c>
      <c r="J5">
        <v>2.74</v>
      </c>
      <c r="K5">
        <v>129</v>
      </c>
      <c r="L5">
        <v>18322.365809999999</v>
      </c>
      <c r="M5">
        <v>86948.365810000003</v>
      </c>
      <c r="N5">
        <v>68626</v>
      </c>
      <c r="O5">
        <v>10442.498733781</v>
      </c>
      <c r="P5">
        <v>0.1201</v>
      </c>
      <c r="Q5">
        <v>2.7000000000000001E-3</v>
      </c>
      <c r="R5">
        <v>63589.193100000004</v>
      </c>
      <c r="S5">
        <v>23551553</v>
      </c>
      <c r="T5">
        <v>981.21900000000005</v>
      </c>
      <c r="U5">
        <v>7291</v>
      </c>
      <c r="V5">
        <v>1887.6880000000001</v>
      </c>
      <c r="W5">
        <v>804.50400000000002</v>
      </c>
      <c r="X5">
        <v>1379.6020000000001</v>
      </c>
      <c r="Y5" s="7">
        <v>1306483</v>
      </c>
      <c r="Z5">
        <v>5.5E-2</v>
      </c>
      <c r="AA5">
        <v>797.1037</v>
      </c>
      <c r="AB5">
        <v>974351</v>
      </c>
      <c r="AC5">
        <v>25162.086910000002</v>
      </c>
      <c r="AD5">
        <v>804504</v>
      </c>
      <c r="AE5">
        <v>28599.032999999999</v>
      </c>
      <c r="AF5">
        <v>7291</v>
      </c>
      <c r="AG5">
        <v>233.40661700000001</v>
      </c>
      <c r="AH5">
        <v>45.566410843846356</v>
      </c>
      <c r="AI5">
        <v>3.3016809492935764</v>
      </c>
      <c r="AJ5">
        <v>28284.442999999999</v>
      </c>
      <c r="AK5">
        <v>350</v>
      </c>
      <c r="AL5">
        <v>17664000</v>
      </c>
      <c r="AM5">
        <v>567185.44000000134</v>
      </c>
      <c r="AN5">
        <v>804504</v>
      </c>
      <c r="AO5">
        <v>6637</v>
      </c>
      <c r="AP5">
        <v>2519</v>
      </c>
      <c r="AQ5">
        <v>6570</v>
      </c>
      <c r="AR5">
        <v>5793.7</v>
      </c>
      <c r="AS5">
        <v>2696</v>
      </c>
      <c r="AT5">
        <v>6570</v>
      </c>
      <c r="AU5">
        <v>2241</v>
      </c>
      <c r="AV5">
        <v>2322950</v>
      </c>
      <c r="AW5">
        <v>1923406</v>
      </c>
      <c r="AX5">
        <v>2644</v>
      </c>
      <c r="AY5">
        <v>654</v>
      </c>
      <c r="AZ5">
        <v>86948.365810000003</v>
      </c>
      <c r="BA5">
        <v>5.8805333021460732E-3</v>
      </c>
      <c r="BB5">
        <v>2214</v>
      </c>
      <c r="BC5">
        <v>654</v>
      </c>
      <c r="BD5">
        <v>86948.365810000003</v>
      </c>
      <c r="BE5">
        <v>2589.5320000000002</v>
      </c>
      <c r="BF5">
        <v>12905.745000000001</v>
      </c>
      <c r="BG5">
        <v>105269.01</v>
      </c>
      <c r="BH5">
        <v>151200</v>
      </c>
      <c r="BI5">
        <v>2010.8230000000001</v>
      </c>
      <c r="BJ5">
        <v>28000</v>
      </c>
      <c r="BK5">
        <v>267137</v>
      </c>
      <c r="BL5">
        <v>59.75</v>
      </c>
      <c r="BM5">
        <v>69.64</v>
      </c>
      <c r="BN5">
        <v>504</v>
      </c>
      <c r="BO5">
        <v>90.65</v>
      </c>
      <c r="BP5">
        <v>2819</v>
      </c>
      <c r="BQ5">
        <v>26276.87</v>
      </c>
      <c r="BR5">
        <v>57.64</v>
      </c>
      <c r="BS5">
        <v>100.54</v>
      </c>
      <c r="BT5">
        <v>707.7</v>
      </c>
      <c r="BU5">
        <v>68.52</v>
      </c>
      <c r="BV5">
        <v>101.65</v>
      </c>
      <c r="BW5">
        <v>12905745</v>
      </c>
      <c r="BX5">
        <v>2589.5320000000002</v>
      </c>
      <c r="BY5">
        <v>42.08</v>
      </c>
      <c r="BZ5">
        <v>781724</v>
      </c>
      <c r="CA5">
        <v>137</v>
      </c>
      <c r="CB5">
        <v>2010823</v>
      </c>
      <c r="CC5">
        <v>28000</v>
      </c>
      <c r="CD5">
        <v>267137</v>
      </c>
      <c r="CE5">
        <v>59.75</v>
      </c>
      <c r="CF5">
        <v>69.64</v>
      </c>
      <c r="CG5">
        <v>504</v>
      </c>
      <c r="CH5">
        <v>90.65</v>
      </c>
      <c r="CI5">
        <v>57.64</v>
      </c>
      <c r="CJ5">
        <v>100.54</v>
      </c>
      <c r="CK5">
        <v>707.7</v>
      </c>
      <c r="CL5">
        <v>95.11</v>
      </c>
      <c r="CM5">
        <v>2019</v>
      </c>
      <c r="CN5">
        <v>67.12</v>
      </c>
      <c r="CO5">
        <v>68.52</v>
      </c>
      <c r="CP5">
        <v>101.65</v>
      </c>
    </row>
    <row r="6" spans="1:94" x14ac:dyDescent="0.35">
      <c r="A6">
        <v>2004</v>
      </c>
      <c r="B6">
        <v>473.476</v>
      </c>
      <c r="C6">
        <v>2.1928000000000001</v>
      </c>
      <c r="D6">
        <v>108.07899999999999</v>
      </c>
      <c r="E6">
        <v>1864</v>
      </c>
      <c r="F6">
        <v>47.49</v>
      </c>
      <c r="G6">
        <v>438439</v>
      </c>
      <c r="H6">
        <v>120</v>
      </c>
      <c r="I6">
        <v>41.79</v>
      </c>
      <c r="J6">
        <v>2.87</v>
      </c>
      <c r="K6">
        <v>126</v>
      </c>
      <c r="L6">
        <v>22485.375240000001</v>
      </c>
      <c r="M6">
        <v>129275.37523999999</v>
      </c>
      <c r="N6">
        <v>106790</v>
      </c>
      <c r="O6">
        <v>15823.305929375998</v>
      </c>
      <c r="P6">
        <v>0.12239999999999999</v>
      </c>
      <c r="Q6">
        <v>2.8E-3</v>
      </c>
      <c r="R6">
        <v>69856.301200000002</v>
      </c>
      <c r="S6">
        <v>24948679</v>
      </c>
      <c r="T6">
        <v>991.13099999999997</v>
      </c>
      <c r="U6">
        <v>7297</v>
      </c>
      <c r="V6">
        <v>2074.3820000000001</v>
      </c>
      <c r="W6">
        <v>884.07</v>
      </c>
      <c r="X6">
        <v>1456.8130000000001</v>
      </c>
      <c r="Y6" s="7">
        <v>1379602</v>
      </c>
      <c r="Z6">
        <v>5.2999999999999999E-2</v>
      </c>
      <c r="AA6">
        <v>817.99919999999997</v>
      </c>
      <c r="AB6">
        <v>981219</v>
      </c>
      <c r="AC6">
        <v>25467.6993</v>
      </c>
      <c r="AD6">
        <v>884070</v>
      </c>
      <c r="AE6">
        <v>29005.103999999999</v>
      </c>
      <c r="AF6">
        <v>7297</v>
      </c>
      <c r="AG6">
        <v>234.839135</v>
      </c>
      <c r="AH6">
        <v>46.166576336217176</v>
      </c>
      <c r="AI6">
        <v>3.301897717195208</v>
      </c>
      <c r="AJ6">
        <v>28599.032999999999</v>
      </c>
      <c r="AK6">
        <v>331</v>
      </c>
      <c r="AL6">
        <v>20394100</v>
      </c>
      <c r="AM6">
        <v>324805.53999999911</v>
      </c>
      <c r="AN6">
        <v>884070</v>
      </c>
      <c r="AO6">
        <v>6683</v>
      </c>
      <c r="AP6">
        <v>2741</v>
      </c>
      <c r="AQ6">
        <v>6637</v>
      </c>
      <c r="AR6">
        <v>6304.2999999999993</v>
      </c>
      <c r="AS6">
        <v>3252</v>
      </c>
      <c r="AT6">
        <v>6637</v>
      </c>
      <c r="AU6">
        <v>2229</v>
      </c>
      <c r="AV6">
        <v>2212073</v>
      </c>
      <c r="AW6">
        <v>1980305</v>
      </c>
      <c r="AX6">
        <v>2878</v>
      </c>
      <c r="AY6">
        <v>614</v>
      </c>
      <c r="AZ6">
        <v>129275.37523999999</v>
      </c>
      <c r="BA6">
        <v>1.5537531415314857E-2</v>
      </c>
      <c r="BB6">
        <v>2519</v>
      </c>
      <c r="BC6">
        <v>614</v>
      </c>
      <c r="BD6">
        <v>129275.37523999999</v>
      </c>
      <c r="BE6">
        <v>2856.1219999999998</v>
      </c>
      <c r="BF6">
        <v>13263.869000000001</v>
      </c>
      <c r="BG6">
        <v>130170.09000000001</v>
      </c>
      <c r="BH6">
        <v>150000</v>
      </c>
      <c r="BI6">
        <v>2085.9160000000002</v>
      </c>
      <c r="BJ6">
        <v>29000</v>
      </c>
      <c r="BK6">
        <v>267672</v>
      </c>
      <c r="BL6">
        <v>58.75</v>
      </c>
      <c r="BM6">
        <v>69.98</v>
      </c>
      <c r="BN6">
        <v>527</v>
      </c>
      <c r="BO6">
        <v>90.69</v>
      </c>
      <c r="BP6">
        <v>2897</v>
      </c>
      <c r="BQ6">
        <v>26867.96</v>
      </c>
      <c r="BR6">
        <v>59.75</v>
      </c>
      <c r="BS6">
        <v>98.56</v>
      </c>
      <c r="BT6">
        <v>756.09</v>
      </c>
      <c r="BU6">
        <v>68.84</v>
      </c>
      <c r="BV6">
        <v>100.54</v>
      </c>
      <c r="BW6">
        <v>14855533</v>
      </c>
      <c r="BX6">
        <v>2856.1219999999998</v>
      </c>
      <c r="BY6">
        <v>47.78</v>
      </c>
      <c r="BZ6">
        <v>862830</v>
      </c>
      <c r="CA6">
        <v>124</v>
      </c>
      <c r="CB6">
        <v>2085916</v>
      </c>
      <c r="CC6">
        <v>29000</v>
      </c>
      <c r="CD6">
        <v>267672</v>
      </c>
      <c r="CE6">
        <v>58.75</v>
      </c>
      <c r="CF6">
        <v>69.98</v>
      </c>
      <c r="CG6">
        <v>527</v>
      </c>
      <c r="CH6">
        <v>90.69</v>
      </c>
      <c r="CI6">
        <v>59.75</v>
      </c>
      <c r="CJ6">
        <v>98.56</v>
      </c>
      <c r="CK6">
        <v>756.09</v>
      </c>
      <c r="CL6">
        <v>108.07899999999999</v>
      </c>
      <c r="CM6">
        <v>1864</v>
      </c>
      <c r="CN6">
        <v>66.87</v>
      </c>
      <c r="CO6">
        <v>68.84</v>
      </c>
      <c r="CP6">
        <v>100.54</v>
      </c>
    </row>
    <row r="7" spans="1:94" x14ac:dyDescent="0.35">
      <c r="A7">
        <v>2005</v>
      </c>
      <c r="B7">
        <v>500.50400000000002</v>
      </c>
      <c r="C7">
        <v>2.1538461538461537</v>
      </c>
      <c r="D7">
        <v>117.47799999999999</v>
      </c>
      <c r="E7">
        <v>2384</v>
      </c>
      <c r="F7">
        <v>49.58</v>
      </c>
      <c r="G7">
        <v>473476</v>
      </c>
      <c r="H7">
        <v>127</v>
      </c>
      <c r="I7">
        <v>47.49</v>
      </c>
      <c r="J7">
        <v>2.94</v>
      </c>
      <c r="K7">
        <v>120</v>
      </c>
      <c r="L7">
        <v>24814.98832</v>
      </c>
      <c r="M7">
        <v>114864.98832</v>
      </c>
      <c r="N7">
        <v>90050</v>
      </c>
      <c r="O7">
        <v>12841.905694176001</v>
      </c>
      <c r="P7">
        <v>0.1118</v>
      </c>
      <c r="Q7">
        <v>2.8999999999999998E-3</v>
      </c>
      <c r="R7">
        <v>76805.911299999992</v>
      </c>
      <c r="S7">
        <v>26484797</v>
      </c>
      <c r="T7">
        <v>999.12400000000002</v>
      </c>
      <c r="U7">
        <v>7306</v>
      </c>
      <c r="V7">
        <v>2384.3470000000002</v>
      </c>
      <c r="W7">
        <v>897.53300000000002</v>
      </c>
      <c r="X7">
        <v>1538.345</v>
      </c>
      <c r="Y7" s="7">
        <v>1456813</v>
      </c>
      <c r="Z7">
        <v>5.7000000000000002E-2</v>
      </c>
      <c r="AA7">
        <v>757.1096</v>
      </c>
      <c r="AB7">
        <v>991131</v>
      </c>
      <c r="AC7">
        <v>25829.309639999999</v>
      </c>
      <c r="AD7">
        <v>897533</v>
      </c>
      <c r="AE7">
        <v>29298.084999999999</v>
      </c>
      <c r="AF7">
        <v>7306</v>
      </c>
      <c r="AG7">
        <v>236.28044600000001</v>
      </c>
      <c r="AH7">
        <v>46.774646743887715</v>
      </c>
      <c r="AI7">
        <v>3.3021143769562009</v>
      </c>
      <c r="AJ7">
        <v>29005.103999999999</v>
      </c>
      <c r="AK7">
        <v>292</v>
      </c>
      <c r="AL7">
        <v>22255000</v>
      </c>
      <c r="AM7">
        <v>1398318.1000000015</v>
      </c>
      <c r="AN7">
        <v>897533</v>
      </c>
      <c r="AO7">
        <v>6772</v>
      </c>
      <c r="AP7">
        <v>2800</v>
      </c>
      <c r="AQ7">
        <v>6683</v>
      </c>
      <c r="AR7">
        <v>6439.9999999999991</v>
      </c>
      <c r="AS7">
        <v>3130</v>
      </c>
      <c r="AT7">
        <v>6683</v>
      </c>
      <c r="AU7">
        <v>2480</v>
      </c>
      <c r="AV7">
        <v>1977424</v>
      </c>
      <c r="AW7">
        <v>2001801</v>
      </c>
      <c r="AX7">
        <v>2940</v>
      </c>
      <c r="AY7">
        <v>534</v>
      </c>
      <c r="AZ7">
        <v>114864.98832</v>
      </c>
      <c r="BA7">
        <v>4.1753489021213251E-2</v>
      </c>
      <c r="BB7">
        <v>2741</v>
      </c>
      <c r="BC7">
        <v>534</v>
      </c>
      <c r="BD7">
        <v>114864.98832</v>
      </c>
      <c r="BE7">
        <v>2889.6</v>
      </c>
      <c r="BF7">
        <v>13590.03</v>
      </c>
      <c r="BG7">
        <v>138824</v>
      </c>
      <c r="BH7">
        <v>165100</v>
      </c>
      <c r="BI7">
        <v>2163.8130000000001</v>
      </c>
      <c r="BJ7">
        <v>32500</v>
      </c>
      <c r="BK7">
        <v>270103</v>
      </c>
      <c r="BL7">
        <v>60.23</v>
      </c>
      <c r="BM7">
        <v>69.64</v>
      </c>
      <c r="BN7">
        <v>548</v>
      </c>
      <c r="BO7">
        <v>91.01</v>
      </c>
      <c r="BP7">
        <v>3024</v>
      </c>
      <c r="BQ7">
        <v>27528.65</v>
      </c>
      <c r="BR7">
        <v>58.75</v>
      </c>
      <c r="BS7">
        <v>97.72</v>
      </c>
      <c r="BT7">
        <v>807.79</v>
      </c>
      <c r="BU7">
        <v>69.16</v>
      </c>
      <c r="BV7">
        <v>98.56</v>
      </c>
      <c r="BW7">
        <v>11850506</v>
      </c>
      <c r="BX7">
        <v>2889.6</v>
      </c>
      <c r="BY7">
        <v>50.87</v>
      </c>
      <c r="BZ7">
        <v>893199</v>
      </c>
      <c r="CA7">
        <v>137</v>
      </c>
      <c r="CB7">
        <v>2163813</v>
      </c>
      <c r="CC7">
        <v>32500</v>
      </c>
      <c r="CD7">
        <v>270103</v>
      </c>
      <c r="CE7">
        <v>60.23</v>
      </c>
      <c r="CF7">
        <v>69.64</v>
      </c>
      <c r="CG7">
        <v>548</v>
      </c>
      <c r="CH7">
        <v>91.01</v>
      </c>
      <c r="CI7">
        <v>58.75</v>
      </c>
      <c r="CJ7">
        <v>97.72</v>
      </c>
      <c r="CK7">
        <v>807.79</v>
      </c>
      <c r="CL7">
        <v>117.47799999999999</v>
      </c>
      <c r="CM7">
        <v>2384</v>
      </c>
      <c r="CN7">
        <v>67.13</v>
      </c>
      <c r="CO7">
        <v>69.16</v>
      </c>
      <c r="CP7">
        <v>98.56</v>
      </c>
    </row>
    <row r="8" spans="1:94" x14ac:dyDescent="0.35">
      <c r="A8">
        <v>2006</v>
      </c>
      <c r="B8">
        <v>522.447</v>
      </c>
      <c r="C8">
        <v>2.1185185185185187</v>
      </c>
      <c r="D8">
        <v>138.21</v>
      </c>
      <c r="E8">
        <v>2080</v>
      </c>
      <c r="F8">
        <v>48.95</v>
      </c>
      <c r="G8">
        <v>500504</v>
      </c>
      <c r="H8">
        <v>126</v>
      </c>
      <c r="I8">
        <v>49.58</v>
      </c>
      <c r="J8">
        <v>3.07</v>
      </c>
      <c r="K8">
        <v>127</v>
      </c>
      <c r="L8">
        <v>25573.780650000001</v>
      </c>
      <c r="M8">
        <v>129079.78065</v>
      </c>
      <c r="N8">
        <v>103506</v>
      </c>
      <c r="O8">
        <v>14353.671608279999</v>
      </c>
      <c r="P8">
        <v>0.11119999999999999</v>
      </c>
      <c r="Q8">
        <v>3.0000000000000001E-3</v>
      </c>
      <c r="R8">
        <v>84257.043000000005</v>
      </c>
      <c r="S8">
        <v>28085681</v>
      </c>
      <c r="T8">
        <v>1004.144</v>
      </c>
      <c r="U8">
        <v>7415</v>
      </c>
      <c r="V8">
        <v>2433.0079999999998</v>
      </c>
      <c r="W8">
        <v>925.29200000000003</v>
      </c>
      <c r="X8">
        <v>1624.44</v>
      </c>
      <c r="Y8" s="7">
        <v>1538345</v>
      </c>
      <c r="Z8">
        <v>5.6000000000000001E-2</v>
      </c>
      <c r="AA8">
        <v>764.27760000000001</v>
      </c>
      <c r="AB8">
        <v>999124</v>
      </c>
      <c r="AC8">
        <v>26083.993280000002</v>
      </c>
      <c r="AD8">
        <v>925292</v>
      </c>
      <c r="AE8">
        <v>29774.476999999999</v>
      </c>
      <c r="AF8">
        <v>7415</v>
      </c>
      <c r="AG8">
        <v>237.730603</v>
      </c>
      <c r="AH8">
        <v>47.390726184283402</v>
      </c>
      <c r="AI8">
        <v>3.3023309286843991</v>
      </c>
      <c r="AJ8">
        <v>29298.084999999999</v>
      </c>
      <c r="AK8">
        <v>297</v>
      </c>
      <c r="AL8">
        <v>25914400</v>
      </c>
      <c r="AM8">
        <v>205827.6400000006</v>
      </c>
      <c r="AN8">
        <v>925292</v>
      </c>
      <c r="AO8">
        <v>6873</v>
      </c>
      <c r="AP8">
        <v>2860</v>
      </c>
      <c r="AQ8">
        <v>6772</v>
      </c>
      <c r="AR8">
        <v>6577.9999999999991</v>
      </c>
      <c r="AS8">
        <v>3289</v>
      </c>
      <c r="AT8">
        <v>6772</v>
      </c>
      <c r="AU8">
        <v>2331</v>
      </c>
      <c r="AV8">
        <v>2041281</v>
      </c>
      <c r="AW8">
        <v>2181496</v>
      </c>
      <c r="AX8">
        <v>3003</v>
      </c>
      <c r="AY8">
        <v>542</v>
      </c>
      <c r="AZ8">
        <v>129079.78065</v>
      </c>
      <c r="BA8">
        <v>5.1492362057931496E-3</v>
      </c>
      <c r="BB8">
        <v>2800</v>
      </c>
      <c r="BC8">
        <v>542</v>
      </c>
      <c r="BD8">
        <v>129079.78065</v>
      </c>
      <c r="BE8">
        <v>2942.94</v>
      </c>
      <c r="BF8">
        <v>13995.912</v>
      </c>
      <c r="BG8">
        <v>139997</v>
      </c>
      <c r="BH8">
        <v>170100</v>
      </c>
      <c r="BI8">
        <v>2251.6260000000002</v>
      </c>
      <c r="BJ8">
        <v>33500</v>
      </c>
      <c r="BK8">
        <v>273938</v>
      </c>
      <c r="BL8">
        <v>62.75</v>
      </c>
      <c r="BM8">
        <v>70</v>
      </c>
      <c r="BN8">
        <v>509</v>
      </c>
      <c r="BO8">
        <v>91.43</v>
      </c>
      <c r="BP8">
        <v>3147</v>
      </c>
      <c r="BQ8">
        <v>28616.06</v>
      </c>
      <c r="BR8">
        <v>60.23</v>
      </c>
      <c r="BS8">
        <v>102.98</v>
      </c>
      <c r="BT8">
        <v>759.2</v>
      </c>
      <c r="BU8">
        <v>69.48</v>
      </c>
      <c r="BV8">
        <v>97.72</v>
      </c>
      <c r="BW8">
        <v>12484353</v>
      </c>
      <c r="BX8">
        <v>2942.94</v>
      </c>
      <c r="BY8">
        <v>50.24</v>
      </c>
      <c r="BZ8">
        <v>1014999</v>
      </c>
      <c r="CA8">
        <v>129</v>
      </c>
      <c r="CB8">
        <v>2251626</v>
      </c>
      <c r="CC8">
        <v>33500</v>
      </c>
      <c r="CD8">
        <v>273938</v>
      </c>
      <c r="CE8">
        <v>62.75</v>
      </c>
      <c r="CF8">
        <v>70</v>
      </c>
      <c r="CG8">
        <v>509</v>
      </c>
      <c r="CH8">
        <v>91.43</v>
      </c>
      <c r="CI8">
        <v>60.23</v>
      </c>
      <c r="CJ8">
        <v>102.98</v>
      </c>
      <c r="CK8">
        <v>759.2</v>
      </c>
      <c r="CL8">
        <v>138.21</v>
      </c>
      <c r="CM8">
        <v>2080</v>
      </c>
      <c r="CN8">
        <v>66.88</v>
      </c>
      <c r="CO8">
        <v>69.48</v>
      </c>
      <c r="CP8">
        <v>97.72</v>
      </c>
    </row>
    <row r="9" spans="1:94" x14ac:dyDescent="0.35">
      <c r="A9">
        <v>2007</v>
      </c>
      <c r="B9">
        <v>570.98099999999999</v>
      </c>
      <c r="C9">
        <v>2.2328571428571427</v>
      </c>
      <c r="D9">
        <v>174.94900000000001</v>
      </c>
      <c r="E9">
        <v>1815</v>
      </c>
      <c r="F9">
        <v>49.52</v>
      </c>
      <c r="G9">
        <v>522447</v>
      </c>
      <c r="H9">
        <v>120</v>
      </c>
      <c r="I9">
        <v>48.95</v>
      </c>
      <c r="J9">
        <v>3.25</v>
      </c>
      <c r="K9">
        <v>126</v>
      </c>
      <c r="L9">
        <v>28274.97912</v>
      </c>
      <c r="M9">
        <v>151495.97912</v>
      </c>
      <c r="N9">
        <v>123221</v>
      </c>
      <c r="O9">
        <v>17149.344836384</v>
      </c>
      <c r="P9">
        <v>0.1132</v>
      </c>
      <c r="Q9">
        <v>3.0000000000000001E-3</v>
      </c>
      <c r="R9">
        <v>89349.993000000002</v>
      </c>
      <c r="S9">
        <v>29783331</v>
      </c>
      <c r="T9">
        <v>1011.223</v>
      </c>
      <c r="U9">
        <v>7527</v>
      </c>
      <c r="V9">
        <v>2482.6610000000001</v>
      </c>
      <c r="W9">
        <v>955.88</v>
      </c>
      <c r="X9">
        <v>1715.354</v>
      </c>
      <c r="Y9" s="7">
        <v>1624440</v>
      </c>
      <c r="Z9">
        <v>5.3999999999999999E-2</v>
      </c>
      <c r="AA9">
        <v>795.34319999999991</v>
      </c>
      <c r="AB9">
        <v>1004144</v>
      </c>
      <c r="AC9">
        <v>27253.44975</v>
      </c>
      <c r="AD9">
        <v>955880</v>
      </c>
      <c r="AE9">
        <v>30258.615000000002</v>
      </c>
      <c r="AF9">
        <v>7527</v>
      </c>
      <c r="AG9">
        <v>239.18966</v>
      </c>
      <c r="AH9">
        <v>48.01492014618379</v>
      </c>
      <c r="AI9">
        <v>3.3025473724874854</v>
      </c>
      <c r="AJ9">
        <v>29774.476999999999</v>
      </c>
      <c r="AK9">
        <v>277.5</v>
      </c>
      <c r="AL9">
        <v>26865000</v>
      </c>
      <c r="AM9">
        <v>1478216.629999999</v>
      </c>
      <c r="AN9">
        <v>955880</v>
      </c>
      <c r="AO9">
        <v>7026</v>
      </c>
      <c r="AP9">
        <v>3126</v>
      </c>
      <c r="AQ9">
        <v>6873</v>
      </c>
      <c r="AR9">
        <v>7189.7999999999993</v>
      </c>
      <c r="AS9">
        <v>3594</v>
      </c>
      <c r="AT9">
        <v>6873</v>
      </c>
      <c r="AU9">
        <v>2357</v>
      </c>
      <c r="AV9">
        <v>1949715</v>
      </c>
      <c r="AW9">
        <v>2265479</v>
      </c>
      <c r="AX9">
        <v>3282</v>
      </c>
      <c r="AY9">
        <v>501</v>
      </c>
      <c r="AZ9">
        <v>151495.97912</v>
      </c>
      <c r="BA9">
        <v>1.1381827274567472E-2</v>
      </c>
      <c r="BB9">
        <v>2860</v>
      </c>
      <c r="BC9">
        <v>501</v>
      </c>
      <c r="BD9">
        <v>151495.97912</v>
      </c>
      <c r="BE9">
        <v>3210.402</v>
      </c>
      <c r="BF9">
        <v>14340.073</v>
      </c>
      <c r="BG9">
        <v>154799.52000000002</v>
      </c>
      <c r="BH9">
        <v>168000</v>
      </c>
      <c r="BI9">
        <v>2352.797</v>
      </c>
      <c r="BJ9">
        <v>35000</v>
      </c>
      <c r="BK9">
        <v>278675</v>
      </c>
      <c r="BL9">
        <v>61.65</v>
      </c>
      <c r="BM9">
        <v>70.23</v>
      </c>
      <c r="BN9">
        <v>495</v>
      </c>
      <c r="BO9">
        <v>91.65</v>
      </c>
      <c r="BP9">
        <v>3245</v>
      </c>
      <c r="BQ9">
        <v>29623.25</v>
      </c>
      <c r="BR9">
        <v>62.75</v>
      </c>
      <c r="BS9">
        <v>98.65</v>
      </c>
      <c r="BT9">
        <v>802.53</v>
      </c>
      <c r="BU9">
        <v>69.8</v>
      </c>
      <c r="BV9">
        <v>102.98</v>
      </c>
      <c r="BW9">
        <v>15917481</v>
      </c>
      <c r="BX9">
        <v>3210.402</v>
      </c>
      <c r="BY9">
        <v>58.81</v>
      </c>
      <c r="BZ9">
        <v>1042094</v>
      </c>
      <c r="CA9">
        <v>128</v>
      </c>
      <c r="CB9">
        <v>2352797</v>
      </c>
      <c r="CC9">
        <v>35000</v>
      </c>
      <c r="CD9">
        <v>278675</v>
      </c>
      <c r="CE9">
        <v>61.65</v>
      </c>
      <c r="CF9">
        <v>70.23</v>
      </c>
      <c r="CG9">
        <v>495</v>
      </c>
      <c r="CH9">
        <v>91.65</v>
      </c>
      <c r="CI9">
        <v>62.75</v>
      </c>
      <c r="CJ9">
        <v>98.65</v>
      </c>
      <c r="CK9">
        <v>802.53</v>
      </c>
      <c r="CL9">
        <v>174.94900000000001</v>
      </c>
      <c r="CM9">
        <v>1815</v>
      </c>
      <c r="CN9">
        <v>67.14</v>
      </c>
      <c r="CO9">
        <v>69.8</v>
      </c>
      <c r="CP9">
        <v>102.98</v>
      </c>
    </row>
    <row r="10" spans="1:94" x14ac:dyDescent="0.35">
      <c r="A10">
        <v>2008</v>
      </c>
      <c r="B10">
        <v>615.94500000000005</v>
      </c>
      <c r="C10">
        <v>2.2503448275862068</v>
      </c>
      <c r="D10">
        <v>198.80600000000001</v>
      </c>
      <c r="E10">
        <v>2453</v>
      </c>
      <c r="F10">
        <v>50.76</v>
      </c>
      <c r="G10">
        <v>570981</v>
      </c>
      <c r="H10">
        <v>127</v>
      </c>
      <c r="I10">
        <v>49.52</v>
      </c>
      <c r="J10">
        <v>3.32</v>
      </c>
      <c r="K10">
        <v>120</v>
      </c>
      <c r="L10">
        <v>31265.368200000001</v>
      </c>
      <c r="M10">
        <v>172898.3682</v>
      </c>
      <c r="N10">
        <v>141633</v>
      </c>
      <c r="O10">
        <v>19381.907075220002</v>
      </c>
      <c r="P10">
        <v>0.11210000000000001</v>
      </c>
      <c r="Q10">
        <v>3.0000000000000001E-3</v>
      </c>
      <c r="R10">
        <v>94251.047999999995</v>
      </c>
      <c r="S10">
        <v>31417016</v>
      </c>
      <c r="T10">
        <v>1012.235</v>
      </c>
      <c r="U10">
        <v>7540</v>
      </c>
      <c r="V10">
        <v>2821.2060000000001</v>
      </c>
      <c r="W10">
        <v>981.39700000000005</v>
      </c>
      <c r="X10">
        <v>1811.356</v>
      </c>
      <c r="Y10" s="7">
        <v>1715354</v>
      </c>
      <c r="Z10">
        <v>5.8999999999999997E-2</v>
      </c>
      <c r="AA10">
        <v>820.34780000000001</v>
      </c>
      <c r="AB10">
        <v>1011223</v>
      </c>
      <c r="AC10">
        <v>29370.355760000002</v>
      </c>
      <c r="AD10">
        <v>981397</v>
      </c>
      <c r="AE10">
        <v>30626.128000000001</v>
      </c>
      <c r="AF10">
        <v>7540</v>
      </c>
      <c r="AG10">
        <v>240.65767199999999</v>
      </c>
      <c r="AH10">
        <v>48.647335507784994</v>
      </c>
      <c r="AI10">
        <v>3.3027637084729817</v>
      </c>
      <c r="AJ10">
        <v>30258.615000000002</v>
      </c>
      <c r="AK10">
        <v>139</v>
      </c>
      <c r="AL10">
        <v>31433500</v>
      </c>
      <c r="AM10">
        <v>2494880.3999999985</v>
      </c>
      <c r="AN10">
        <v>981397</v>
      </c>
      <c r="AO10">
        <v>7318</v>
      </c>
      <c r="AP10">
        <v>3263</v>
      </c>
      <c r="AQ10">
        <v>7026</v>
      </c>
      <c r="AR10">
        <v>7504.9</v>
      </c>
      <c r="AS10">
        <v>3752</v>
      </c>
      <c r="AT10">
        <v>7026</v>
      </c>
      <c r="AU10">
        <v>2673</v>
      </c>
      <c r="AV10">
        <v>1017202</v>
      </c>
      <c r="AW10">
        <v>2373152</v>
      </c>
      <c r="AX10">
        <v>3426</v>
      </c>
      <c r="AY10">
        <v>222</v>
      </c>
      <c r="AZ10">
        <v>172898.3682</v>
      </c>
      <c r="BA10">
        <v>9.1146062615511791E-3</v>
      </c>
      <c r="BB10">
        <v>3126</v>
      </c>
      <c r="BC10">
        <v>222</v>
      </c>
      <c r="BD10">
        <v>172898.3682</v>
      </c>
      <c r="BE10">
        <v>3321.7339999999999</v>
      </c>
      <c r="BF10">
        <v>14632.727999999999</v>
      </c>
      <c r="BG10">
        <v>165629.88</v>
      </c>
      <c r="BH10">
        <v>184150</v>
      </c>
      <c r="BI10">
        <v>2440.66</v>
      </c>
      <c r="BJ10">
        <v>39000</v>
      </c>
      <c r="BK10">
        <v>280640</v>
      </c>
      <c r="BL10">
        <v>60.98</v>
      </c>
      <c r="BM10">
        <v>70.540000000000006</v>
      </c>
      <c r="BN10">
        <v>500</v>
      </c>
      <c r="BO10">
        <v>91.944999999999993</v>
      </c>
      <c r="BP10">
        <v>3345</v>
      </c>
      <c r="BQ10">
        <v>30729.51</v>
      </c>
      <c r="BR10">
        <v>61.65</v>
      </c>
      <c r="BS10">
        <v>103.12</v>
      </c>
      <c r="BT10">
        <v>768.71</v>
      </c>
      <c r="BU10">
        <v>70.119999999999905</v>
      </c>
      <c r="BV10">
        <v>98.65</v>
      </c>
      <c r="BW10">
        <v>14940015</v>
      </c>
      <c r="BX10">
        <v>3321.7339999999999</v>
      </c>
      <c r="BY10">
        <v>51.05</v>
      </c>
      <c r="BZ10">
        <v>1113348</v>
      </c>
      <c r="CA10">
        <v>130</v>
      </c>
      <c r="CB10">
        <v>2440660</v>
      </c>
      <c r="CC10">
        <v>39000</v>
      </c>
      <c r="CD10">
        <v>280640</v>
      </c>
      <c r="CE10">
        <v>60.98</v>
      </c>
      <c r="CF10">
        <v>70.540000000000006</v>
      </c>
      <c r="CG10">
        <v>500</v>
      </c>
      <c r="CH10">
        <v>91.944999999999993</v>
      </c>
      <c r="CI10">
        <v>61.65</v>
      </c>
      <c r="CJ10">
        <v>103.12</v>
      </c>
      <c r="CK10">
        <v>768.71</v>
      </c>
      <c r="CL10">
        <v>198.80600000000001</v>
      </c>
      <c r="CM10">
        <v>2453</v>
      </c>
      <c r="CN10">
        <v>66.89</v>
      </c>
      <c r="CO10">
        <v>70.119999999999905</v>
      </c>
      <c r="CP10">
        <v>98.65</v>
      </c>
    </row>
    <row r="11" spans="1:94" x14ac:dyDescent="0.35">
      <c r="A11">
        <v>2009</v>
      </c>
      <c r="B11">
        <v>660.17700000000002</v>
      </c>
      <c r="C11">
        <v>2.3319999999999999</v>
      </c>
      <c r="D11">
        <v>213.77</v>
      </c>
      <c r="E11">
        <v>2314</v>
      </c>
      <c r="F11">
        <v>52.18</v>
      </c>
      <c r="G11">
        <v>615945</v>
      </c>
      <c r="H11">
        <v>132</v>
      </c>
      <c r="I11">
        <v>50.76</v>
      </c>
      <c r="J11">
        <v>3.82</v>
      </c>
      <c r="K11">
        <v>127</v>
      </c>
      <c r="L11">
        <v>34448.035860000004</v>
      </c>
      <c r="M11">
        <v>180462.03586</v>
      </c>
      <c r="N11">
        <v>146014</v>
      </c>
      <c r="O11">
        <v>20301.979034250002</v>
      </c>
      <c r="P11">
        <v>0.1125</v>
      </c>
      <c r="Q11">
        <v>3.0999999999999999E-3</v>
      </c>
      <c r="R11">
        <v>102843.45169999999</v>
      </c>
      <c r="S11">
        <v>33175307</v>
      </c>
      <c r="T11">
        <v>1014.264</v>
      </c>
      <c r="U11">
        <v>7655</v>
      </c>
      <c r="V11">
        <v>3066.5279999999998</v>
      </c>
      <c r="W11">
        <v>1030.8789999999999</v>
      </c>
      <c r="X11">
        <v>1912.731</v>
      </c>
      <c r="Y11" s="7">
        <v>1811356</v>
      </c>
      <c r="Z11">
        <v>5.7000000000000002E-2</v>
      </c>
      <c r="AA11">
        <v>826.98750000000007</v>
      </c>
      <c r="AB11">
        <v>1012235</v>
      </c>
      <c r="AC11">
        <v>29907.378769999999</v>
      </c>
      <c r="AD11">
        <v>1030879</v>
      </c>
      <c r="AE11">
        <v>31155.776000000002</v>
      </c>
      <c r="AF11">
        <v>7655</v>
      </c>
      <c r="AG11">
        <v>242.134693</v>
      </c>
      <c r="AH11">
        <v>49.288080554999993</v>
      </c>
      <c r="AI11">
        <v>3.3029799367482493</v>
      </c>
      <c r="AJ11">
        <v>30626.128000000001</v>
      </c>
      <c r="AK11">
        <v>181</v>
      </c>
      <c r="AL11">
        <v>34238000</v>
      </c>
      <c r="AM11">
        <v>623720.10000000149</v>
      </c>
      <c r="AN11">
        <v>1030879</v>
      </c>
      <c r="AO11">
        <v>7351</v>
      </c>
      <c r="AP11">
        <v>3498</v>
      </c>
      <c r="AQ11">
        <v>7318</v>
      </c>
      <c r="AR11">
        <v>8045.4</v>
      </c>
      <c r="AS11">
        <v>4022</v>
      </c>
      <c r="AT11">
        <v>7318</v>
      </c>
      <c r="AU11">
        <v>2873</v>
      </c>
      <c r="AV11">
        <v>1330531</v>
      </c>
      <c r="AW11">
        <v>2681831</v>
      </c>
      <c r="AX11">
        <v>3672</v>
      </c>
      <c r="AY11">
        <v>304</v>
      </c>
      <c r="AZ11">
        <v>180462.03586</v>
      </c>
      <c r="BA11">
        <v>3.3396473359055844E-3</v>
      </c>
      <c r="BB11">
        <v>3263</v>
      </c>
      <c r="BC11">
        <v>304</v>
      </c>
      <c r="BD11">
        <v>180462.03586</v>
      </c>
      <c r="BE11">
        <v>3599.442</v>
      </c>
      <c r="BF11">
        <v>15069.751</v>
      </c>
      <c r="BG11">
        <v>182525.63999999998</v>
      </c>
      <c r="BH11">
        <v>198000</v>
      </c>
      <c r="BI11">
        <v>2539.7089999999998</v>
      </c>
      <c r="BJ11">
        <v>40000</v>
      </c>
      <c r="BK11">
        <v>283475</v>
      </c>
      <c r="BL11">
        <v>62.85</v>
      </c>
      <c r="BM11">
        <v>70.78</v>
      </c>
      <c r="BN11">
        <v>457</v>
      </c>
      <c r="BO11">
        <v>91.87</v>
      </c>
      <c r="BP11">
        <v>3448</v>
      </c>
      <c r="BQ11">
        <v>31778.19</v>
      </c>
      <c r="BR11">
        <v>60.98</v>
      </c>
      <c r="BS11">
        <v>100.054</v>
      </c>
      <c r="BT11">
        <v>722.47</v>
      </c>
      <c r="BU11">
        <v>70.439999999999898</v>
      </c>
      <c r="BV11">
        <v>103.12</v>
      </c>
      <c r="BW11">
        <v>15551983</v>
      </c>
      <c r="BX11">
        <v>3599.442</v>
      </c>
      <c r="BY11">
        <v>52.47</v>
      </c>
      <c r="BZ11">
        <v>1147781</v>
      </c>
      <c r="CA11">
        <v>138</v>
      </c>
      <c r="CB11">
        <v>2539709</v>
      </c>
      <c r="CC11">
        <v>40000</v>
      </c>
      <c r="CD11">
        <v>283475</v>
      </c>
      <c r="CE11">
        <v>62.85</v>
      </c>
      <c r="CF11">
        <v>70.78</v>
      </c>
      <c r="CG11">
        <v>457</v>
      </c>
      <c r="CH11">
        <v>91.87</v>
      </c>
      <c r="CI11">
        <v>60.98</v>
      </c>
      <c r="CJ11">
        <v>100.054</v>
      </c>
      <c r="CK11">
        <v>722.47</v>
      </c>
      <c r="CL11">
        <v>213.77</v>
      </c>
      <c r="CM11">
        <v>2314</v>
      </c>
      <c r="CN11">
        <v>67.150000000000006</v>
      </c>
      <c r="CO11">
        <v>70.439999999999898</v>
      </c>
      <c r="CP11">
        <v>103.12</v>
      </c>
    </row>
    <row r="12" spans="1:94" x14ac:dyDescent="0.35">
      <c r="A12">
        <v>2010</v>
      </c>
      <c r="B12">
        <v>688.40099999999995</v>
      </c>
      <c r="C12">
        <v>2.2103030303030304</v>
      </c>
      <c r="D12">
        <v>260.69499999999999</v>
      </c>
      <c r="E12">
        <v>1968</v>
      </c>
      <c r="F12">
        <v>47.95</v>
      </c>
      <c r="G12">
        <v>660177</v>
      </c>
      <c r="H12">
        <v>120</v>
      </c>
      <c r="I12">
        <v>52.18</v>
      </c>
      <c r="J12">
        <v>4.01</v>
      </c>
      <c r="K12">
        <v>132</v>
      </c>
      <c r="L12">
        <v>33008.827949999999</v>
      </c>
      <c r="M12">
        <v>193463.82795000001</v>
      </c>
      <c r="N12">
        <v>160455</v>
      </c>
      <c r="O12">
        <v>21764.680644375003</v>
      </c>
      <c r="P12">
        <v>0.1125</v>
      </c>
      <c r="Q12">
        <v>3.0999999999999999E-3</v>
      </c>
      <c r="R12">
        <v>106573.5267</v>
      </c>
      <c r="S12">
        <v>34378557</v>
      </c>
      <c r="T12">
        <v>1021.414</v>
      </c>
      <c r="U12">
        <v>8171</v>
      </c>
      <c r="V12">
        <v>3297.3420000000001</v>
      </c>
      <c r="W12">
        <v>1062.7619999999999</v>
      </c>
      <c r="X12">
        <v>2019.779</v>
      </c>
      <c r="Y12" s="7">
        <v>1912731</v>
      </c>
      <c r="Z12">
        <v>5.0999999999999997E-2</v>
      </c>
      <c r="AA12">
        <v>831.48750000000007</v>
      </c>
      <c r="AB12">
        <v>1014264</v>
      </c>
      <c r="AC12">
        <v>32796.710729999999</v>
      </c>
      <c r="AD12">
        <v>1062762</v>
      </c>
      <c r="AE12">
        <v>31502.302</v>
      </c>
      <c r="AF12">
        <v>8171</v>
      </c>
      <c r="AG12">
        <v>243.62078</v>
      </c>
      <c r="AH12">
        <v>49.937264999999996</v>
      </c>
      <c r="AI12">
        <v>3.3031960574204891</v>
      </c>
      <c r="AJ12">
        <v>31155.776000000002</v>
      </c>
      <c r="AK12">
        <v>420</v>
      </c>
      <c r="AL12">
        <v>36148000</v>
      </c>
      <c r="AM12">
        <v>3084330.1699999981</v>
      </c>
      <c r="AN12">
        <v>1062762</v>
      </c>
      <c r="AO12">
        <v>7391</v>
      </c>
      <c r="AP12">
        <v>3647</v>
      </c>
      <c r="AQ12">
        <v>7351</v>
      </c>
      <c r="AR12">
        <v>8388.0999999999985</v>
      </c>
      <c r="AS12">
        <v>4194</v>
      </c>
      <c r="AT12">
        <v>7351</v>
      </c>
      <c r="AU12">
        <v>3099</v>
      </c>
      <c r="AV12">
        <v>3104220</v>
      </c>
      <c r="AW12">
        <v>2947067</v>
      </c>
      <c r="AX12">
        <v>3829</v>
      </c>
      <c r="AY12">
        <v>780</v>
      </c>
      <c r="AZ12">
        <v>193463.82795000001</v>
      </c>
      <c r="BA12">
        <v>4.006854273175587E-3</v>
      </c>
      <c r="BB12">
        <v>3498</v>
      </c>
      <c r="BC12">
        <v>780</v>
      </c>
      <c r="BD12">
        <v>193463.82795000001</v>
      </c>
      <c r="BE12">
        <v>3770.998</v>
      </c>
      <c r="BF12">
        <v>15440.317999999999</v>
      </c>
      <c r="BG12">
        <v>174873.65000000002</v>
      </c>
      <c r="BH12">
        <v>198000</v>
      </c>
      <c r="BI12">
        <v>2645.53</v>
      </c>
      <c r="BJ12">
        <v>43000</v>
      </c>
      <c r="BK12">
        <v>285473</v>
      </c>
      <c r="BL12">
        <v>58.78</v>
      </c>
      <c r="BM12">
        <v>71.430000000000007</v>
      </c>
      <c r="BN12">
        <v>438</v>
      </c>
      <c r="BO12">
        <v>92.06</v>
      </c>
      <c r="BP12">
        <v>3526</v>
      </c>
      <c r="BQ12">
        <v>32761.03</v>
      </c>
      <c r="BR12">
        <v>62.85</v>
      </c>
      <c r="BS12">
        <v>99.64</v>
      </c>
      <c r="BT12">
        <v>780.21</v>
      </c>
      <c r="BU12">
        <v>70.759999999999906</v>
      </c>
      <c r="BV12">
        <v>100.054</v>
      </c>
      <c r="BW12">
        <v>15116071</v>
      </c>
      <c r="BX12">
        <v>3770.998</v>
      </c>
      <c r="BY12">
        <v>46.24</v>
      </c>
      <c r="BZ12">
        <v>1188180</v>
      </c>
      <c r="CA12">
        <v>121</v>
      </c>
      <c r="CB12">
        <v>2645530</v>
      </c>
      <c r="CC12">
        <v>43000</v>
      </c>
      <c r="CD12">
        <v>285473</v>
      </c>
      <c r="CE12">
        <v>58.78</v>
      </c>
      <c r="CF12">
        <v>71.430000000000007</v>
      </c>
      <c r="CG12">
        <v>438</v>
      </c>
      <c r="CH12">
        <v>92.06</v>
      </c>
      <c r="CI12">
        <v>62.85</v>
      </c>
      <c r="CJ12">
        <v>99.64</v>
      </c>
      <c r="CK12">
        <v>780.21</v>
      </c>
      <c r="CL12">
        <v>260.69499999999999</v>
      </c>
      <c r="CM12">
        <v>1968</v>
      </c>
      <c r="CN12">
        <v>66.900000000000006</v>
      </c>
      <c r="CO12">
        <v>70.759999999999906</v>
      </c>
      <c r="CP12">
        <v>100.054</v>
      </c>
    </row>
    <row r="13" spans="1:94" x14ac:dyDescent="0.35">
      <c r="A13">
        <v>2011</v>
      </c>
      <c r="B13">
        <v>703.16800000000001</v>
      </c>
      <c r="C13">
        <v>2.223529411764706</v>
      </c>
      <c r="D13">
        <v>289.66199999999998</v>
      </c>
      <c r="E13">
        <v>2042</v>
      </c>
      <c r="F13">
        <v>48.93</v>
      </c>
      <c r="G13">
        <v>688401</v>
      </c>
      <c r="H13">
        <v>125</v>
      </c>
      <c r="I13">
        <v>47.95</v>
      </c>
      <c r="J13">
        <v>4.2300000000000004</v>
      </c>
      <c r="K13">
        <v>120</v>
      </c>
      <c r="L13">
        <v>34406.010240000003</v>
      </c>
      <c r="M13">
        <v>201547.01024</v>
      </c>
      <c r="N13">
        <v>167141</v>
      </c>
      <c r="O13">
        <v>22714.348054047998</v>
      </c>
      <c r="P13">
        <v>0.11269999999999999</v>
      </c>
      <c r="Q13">
        <v>3.2000000000000002E-3</v>
      </c>
      <c r="R13">
        <v>115436.91840000001</v>
      </c>
      <c r="S13">
        <v>36074037</v>
      </c>
      <c r="T13">
        <v>1033.82</v>
      </c>
      <c r="U13">
        <v>8290</v>
      </c>
      <c r="V13">
        <v>3364.6350000000002</v>
      </c>
      <c r="W13">
        <v>1076.76</v>
      </c>
      <c r="X13">
        <v>2132.819</v>
      </c>
      <c r="Y13" s="7">
        <v>2019779</v>
      </c>
      <c r="Z13">
        <v>5.1999999999999998E-2</v>
      </c>
      <c r="AA13">
        <v>889.20299999999997</v>
      </c>
      <c r="AB13">
        <v>1021414</v>
      </c>
      <c r="AC13">
        <v>34955.741849999999</v>
      </c>
      <c r="AD13">
        <v>1076760</v>
      </c>
      <c r="AE13">
        <v>32178.041000000001</v>
      </c>
      <c r="AF13">
        <v>8290</v>
      </c>
      <c r="AG13">
        <v>245.11598799999999</v>
      </c>
      <c r="AH13">
        <v>50.594999999999999</v>
      </c>
      <c r="AI13">
        <v>3.303412070596742</v>
      </c>
      <c r="AJ13">
        <v>31502.302</v>
      </c>
      <c r="AK13">
        <v>231</v>
      </c>
      <c r="AL13">
        <v>38992400</v>
      </c>
      <c r="AM13">
        <v>1803701.8500000015</v>
      </c>
      <c r="AN13">
        <v>1076760</v>
      </c>
      <c r="AO13">
        <v>7890</v>
      </c>
      <c r="AP13">
        <v>3780</v>
      </c>
      <c r="AQ13">
        <v>7391</v>
      </c>
      <c r="AR13">
        <v>8694</v>
      </c>
      <c r="AS13">
        <v>4347</v>
      </c>
      <c r="AT13">
        <v>7391</v>
      </c>
      <c r="AU13">
        <v>3213</v>
      </c>
      <c r="AV13">
        <v>1822590</v>
      </c>
      <c r="AW13">
        <v>3607403</v>
      </c>
      <c r="AX13">
        <v>3969</v>
      </c>
      <c r="AY13">
        <v>400</v>
      </c>
      <c r="AZ13">
        <v>201547.01024</v>
      </c>
      <c r="BA13">
        <v>1.6306244093915825E-3</v>
      </c>
      <c r="BB13">
        <v>3647</v>
      </c>
      <c r="BC13">
        <v>400</v>
      </c>
      <c r="BD13">
        <v>201547.01024</v>
      </c>
      <c r="BE13">
        <v>4014.36</v>
      </c>
      <c r="BF13">
        <v>15983.767</v>
      </c>
      <c r="BG13">
        <v>184955.4</v>
      </c>
      <c r="BH13">
        <v>212500</v>
      </c>
      <c r="BI13">
        <v>2764.4</v>
      </c>
      <c r="BJ13">
        <v>48000</v>
      </c>
      <c r="BK13">
        <v>286620</v>
      </c>
      <c r="BL13">
        <v>60.47</v>
      </c>
      <c r="BM13">
        <v>71.94</v>
      </c>
      <c r="BN13">
        <v>474</v>
      </c>
      <c r="BO13">
        <v>92.53</v>
      </c>
      <c r="BP13">
        <v>3643</v>
      </c>
      <c r="BQ13">
        <v>33844.04</v>
      </c>
      <c r="BR13">
        <v>58.78</v>
      </c>
      <c r="BS13">
        <v>98.41</v>
      </c>
      <c r="BT13">
        <v>833.56</v>
      </c>
      <c r="BU13">
        <v>71.079999999999899</v>
      </c>
      <c r="BV13">
        <v>99.64</v>
      </c>
      <c r="BW13">
        <v>17230500</v>
      </c>
      <c r="BX13">
        <v>4014.36</v>
      </c>
      <c r="BY13">
        <v>53.22</v>
      </c>
      <c r="BZ13">
        <v>1230000</v>
      </c>
      <c r="CA13">
        <v>136</v>
      </c>
      <c r="CB13">
        <v>2764400</v>
      </c>
      <c r="CC13">
        <v>48000</v>
      </c>
      <c r="CD13">
        <v>286620</v>
      </c>
      <c r="CE13">
        <v>60.47</v>
      </c>
      <c r="CF13">
        <v>71.94</v>
      </c>
      <c r="CG13">
        <v>474</v>
      </c>
      <c r="CH13">
        <v>92.53</v>
      </c>
      <c r="CI13">
        <v>58.78</v>
      </c>
      <c r="CJ13">
        <v>98.41</v>
      </c>
      <c r="CK13">
        <v>833.56</v>
      </c>
      <c r="CL13">
        <v>289.66199999999998</v>
      </c>
      <c r="CM13">
        <v>2042</v>
      </c>
      <c r="CN13">
        <v>67.16</v>
      </c>
      <c r="CO13">
        <v>71.079999999999899</v>
      </c>
      <c r="CP13">
        <v>99.64</v>
      </c>
    </row>
    <row r="14" spans="1:94" x14ac:dyDescent="0.35">
      <c r="A14">
        <v>2012</v>
      </c>
      <c r="B14">
        <v>714.30700000000002</v>
      </c>
      <c r="C14">
        <v>2.2064864864864866</v>
      </c>
      <c r="D14">
        <v>289.66199999999998</v>
      </c>
      <c r="E14">
        <v>3175</v>
      </c>
      <c r="F14">
        <v>49.73</v>
      </c>
      <c r="G14">
        <v>703168</v>
      </c>
      <c r="H14">
        <v>135</v>
      </c>
      <c r="I14">
        <v>48.93</v>
      </c>
      <c r="J14">
        <v>4.76</v>
      </c>
      <c r="K14">
        <v>125</v>
      </c>
      <c r="L14">
        <v>35522.487110000002</v>
      </c>
      <c r="M14">
        <v>198662.48710999999</v>
      </c>
      <c r="N14">
        <v>163140</v>
      </c>
      <c r="O14">
        <v>22329.663551163998</v>
      </c>
      <c r="P14">
        <v>0.1124</v>
      </c>
      <c r="Q14">
        <v>3.2000000000000002E-3</v>
      </c>
      <c r="R14">
        <v>118896.47360000001</v>
      </c>
      <c r="S14">
        <v>37155148</v>
      </c>
      <c r="T14">
        <v>2320.777</v>
      </c>
      <c r="U14">
        <v>8843</v>
      </c>
      <c r="V14">
        <v>3372.819</v>
      </c>
      <c r="W14">
        <v>3325.7220000000002</v>
      </c>
      <c r="X14">
        <v>1485.627</v>
      </c>
      <c r="Y14" s="7">
        <v>2132819</v>
      </c>
      <c r="Z14">
        <v>5.1999999999999998E-2</v>
      </c>
      <c r="AA14">
        <v>971.47320000000002</v>
      </c>
      <c r="AB14">
        <v>1033820</v>
      </c>
      <c r="AC14">
        <v>35631.786930000002</v>
      </c>
      <c r="AD14">
        <v>3325722</v>
      </c>
      <c r="AE14">
        <v>29426.877</v>
      </c>
      <c r="AF14">
        <v>8843</v>
      </c>
      <c r="AG14">
        <v>248.45171400000001</v>
      </c>
      <c r="AH14">
        <v>51.276000000000003</v>
      </c>
      <c r="AI14">
        <v>3.3036279763838898</v>
      </c>
      <c r="AJ14">
        <v>32178.041000000001</v>
      </c>
      <c r="AK14">
        <v>132</v>
      </c>
      <c r="AL14">
        <v>42548000</v>
      </c>
      <c r="AM14">
        <v>1081111</v>
      </c>
      <c r="AN14">
        <v>3325722</v>
      </c>
      <c r="AO14">
        <v>8643</v>
      </c>
      <c r="AP14">
        <v>4082</v>
      </c>
      <c r="AQ14">
        <v>7890</v>
      </c>
      <c r="AR14">
        <v>9388.5999999999985</v>
      </c>
      <c r="AS14">
        <v>4694.2999999999993</v>
      </c>
      <c r="AT14">
        <v>7890</v>
      </c>
      <c r="AU14">
        <v>3369</v>
      </c>
      <c r="AV14">
        <v>1140876</v>
      </c>
      <c r="AW14">
        <v>3715513</v>
      </c>
      <c r="AX14">
        <v>4286</v>
      </c>
      <c r="AY14">
        <v>200</v>
      </c>
      <c r="AZ14">
        <v>198662.48710999999</v>
      </c>
      <c r="BA14">
        <v>3.0762390158172233E-2</v>
      </c>
      <c r="BB14">
        <v>3780</v>
      </c>
      <c r="BC14">
        <v>200</v>
      </c>
      <c r="BD14">
        <v>198662.48710999999</v>
      </c>
      <c r="BE14">
        <v>4200.3779999999997</v>
      </c>
      <c r="BF14">
        <v>17474.989000000001</v>
      </c>
      <c r="BG14">
        <v>202997.86</v>
      </c>
      <c r="BH14">
        <v>249750</v>
      </c>
      <c r="BI14">
        <v>3274</v>
      </c>
      <c r="BJ14">
        <v>45000</v>
      </c>
      <c r="BK14">
        <v>289095</v>
      </c>
      <c r="BL14">
        <v>64.77</v>
      </c>
      <c r="BM14">
        <v>71.97</v>
      </c>
      <c r="BN14">
        <v>474</v>
      </c>
      <c r="BO14">
        <v>93.56</v>
      </c>
      <c r="BP14">
        <v>3694</v>
      </c>
      <c r="BQ14">
        <v>33942.769999999997</v>
      </c>
      <c r="BR14">
        <v>60.47</v>
      </c>
      <c r="BS14">
        <v>100.73</v>
      </c>
      <c r="BT14">
        <v>853.21</v>
      </c>
      <c r="BU14">
        <v>71.399999999999906</v>
      </c>
      <c r="BV14">
        <v>98.41</v>
      </c>
      <c r="BW14">
        <v>18838038</v>
      </c>
      <c r="BX14">
        <v>4200.3779999999997</v>
      </c>
      <c r="BY14">
        <v>43.02</v>
      </c>
      <c r="BZ14">
        <v>1494444</v>
      </c>
      <c r="CA14">
        <v>140</v>
      </c>
      <c r="CB14">
        <v>3274000</v>
      </c>
      <c r="CC14">
        <v>45000</v>
      </c>
      <c r="CD14">
        <v>289095</v>
      </c>
      <c r="CE14">
        <v>64.77</v>
      </c>
      <c r="CF14">
        <v>71.97</v>
      </c>
      <c r="CG14">
        <v>474</v>
      </c>
      <c r="CH14">
        <v>93.56</v>
      </c>
      <c r="CI14">
        <v>60.47</v>
      </c>
      <c r="CJ14">
        <v>100.73</v>
      </c>
      <c r="CK14">
        <v>853.21</v>
      </c>
      <c r="CL14">
        <v>289.66199999999998</v>
      </c>
      <c r="CM14">
        <v>3175</v>
      </c>
      <c r="CN14">
        <v>66.91</v>
      </c>
      <c r="CO14">
        <v>71.399999999999906</v>
      </c>
      <c r="CP14">
        <v>98.41</v>
      </c>
    </row>
    <row r="15" spans="1:94" x14ac:dyDescent="0.35">
      <c r="A15">
        <v>2013</v>
      </c>
      <c r="B15">
        <v>697.34400000000005</v>
      </c>
      <c r="C15">
        <v>2.433157894736842</v>
      </c>
      <c r="D15">
        <v>273.05200000000002</v>
      </c>
      <c r="E15">
        <v>2627</v>
      </c>
      <c r="F15">
        <v>51.21</v>
      </c>
      <c r="G15">
        <v>714307</v>
      </c>
      <c r="H15">
        <v>167</v>
      </c>
      <c r="I15">
        <v>49.73</v>
      </c>
      <c r="J15">
        <v>5.37</v>
      </c>
      <c r="K15">
        <v>135</v>
      </c>
      <c r="L15">
        <v>35710.986240000006</v>
      </c>
      <c r="M15">
        <v>192249.98624</v>
      </c>
      <c r="N15">
        <v>156539</v>
      </c>
      <c r="O15">
        <v>21493.548461631999</v>
      </c>
      <c r="P15">
        <v>0.1118</v>
      </c>
      <c r="Q15">
        <v>3.124E-3</v>
      </c>
      <c r="R15">
        <v>116439.283752</v>
      </c>
      <c r="S15">
        <v>37272498</v>
      </c>
      <c r="T15">
        <v>2109.4760000000001</v>
      </c>
      <c r="U15">
        <v>9391</v>
      </c>
      <c r="V15">
        <v>3431.6149999999998</v>
      </c>
      <c r="W15">
        <v>3284.4270000000001</v>
      </c>
      <c r="X15">
        <v>308.72699999999998</v>
      </c>
      <c r="Y15" s="7">
        <v>1485627</v>
      </c>
      <c r="Z15">
        <v>5.2999999999999999E-2</v>
      </c>
      <c r="AA15">
        <v>999.60379999999998</v>
      </c>
      <c r="AB15">
        <v>2320777</v>
      </c>
      <c r="AC15">
        <v>35136.310310000001</v>
      </c>
      <c r="AD15">
        <v>3284427</v>
      </c>
      <c r="AE15">
        <v>30712.538</v>
      </c>
      <c r="AF15">
        <v>9391</v>
      </c>
      <c r="AG15">
        <v>251.80531400000001</v>
      </c>
      <c r="AH15">
        <v>51.954999999999998</v>
      </c>
      <c r="AI15">
        <v>3.3038437748886547</v>
      </c>
      <c r="AJ15">
        <v>29426.877</v>
      </c>
      <c r="AK15">
        <v>258</v>
      </c>
      <c r="AL15">
        <v>58507200</v>
      </c>
      <c r="AM15">
        <v>117350</v>
      </c>
      <c r="AN15">
        <v>3284427</v>
      </c>
      <c r="AO15">
        <v>8941</v>
      </c>
      <c r="AP15">
        <v>4623</v>
      </c>
      <c r="AQ15">
        <v>8643</v>
      </c>
      <c r="AR15">
        <v>10632.9</v>
      </c>
      <c r="AS15">
        <v>5228</v>
      </c>
      <c r="AT15">
        <v>8643</v>
      </c>
      <c r="AU15">
        <v>3829</v>
      </c>
      <c r="AV15">
        <v>2306778</v>
      </c>
      <c r="AW15">
        <v>3727680</v>
      </c>
      <c r="AX15">
        <v>4854</v>
      </c>
      <c r="AY15">
        <v>450</v>
      </c>
      <c r="AZ15">
        <v>192249.98624</v>
      </c>
      <c r="BA15">
        <v>0.26994550834223718</v>
      </c>
      <c r="BB15">
        <v>4082</v>
      </c>
      <c r="BC15">
        <v>450</v>
      </c>
      <c r="BD15">
        <v>192249.98624</v>
      </c>
      <c r="BE15">
        <v>4710.8370000000004</v>
      </c>
      <c r="BF15">
        <v>16879.381000000001</v>
      </c>
      <c r="BG15">
        <v>236743.83000000002</v>
      </c>
      <c r="BH15">
        <v>317300</v>
      </c>
      <c r="BI15">
        <v>3211.5</v>
      </c>
      <c r="BJ15">
        <v>56000</v>
      </c>
      <c r="BK15">
        <v>287600</v>
      </c>
      <c r="BL15">
        <v>59.67</v>
      </c>
      <c r="BM15">
        <v>72.37</v>
      </c>
      <c r="BN15">
        <v>452</v>
      </c>
      <c r="BO15">
        <v>93.9</v>
      </c>
      <c r="BP15">
        <v>3623</v>
      </c>
      <c r="BQ15">
        <v>33383.660000000003</v>
      </c>
      <c r="BR15">
        <v>64.77</v>
      </c>
      <c r="BS15">
        <v>101.58</v>
      </c>
      <c r="BT15">
        <v>863.82</v>
      </c>
      <c r="BU15">
        <v>71.719999999999899</v>
      </c>
      <c r="BV15">
        <v>100.73</v>
      </c>
      <c r="BW15">
        <v>18736112</v>
      </c>
      <c r="BX15">
        <v>4710.8370000000004</v>
      </c>
      <c r="BY15">
        <v>50.5</v>
      </c>
      <c r="BZ15">
        <v>1366667</v>
      </c>
      <c r="CA15">
        <v>180</v>
      </c>
      <c r="CB15">
        <v>3211500</v>
      </c>
      <c r="CC15">
        <v>56000</v>
      </c>
      <c r="CD15">
        <v>287600</v>
      </c>
      <c r="CE15">
        <v>59.67</v>
      </c>
      <c r="CF15">
        <v>72.37</v>
      </c>
      <c r="CG15">
        <v>452</v>
      </c>
      <c r="CH15">
        <v>93.9</v>
      </c>
      <c r="CI15">
        <v>64.77</v>
      </c>
      <c r="CJ15">
        <v>101.58</v>
      </c>
      <c r="CK15">
        <v>863.82</v>
      </c>
      <c r="CL15">
        <v>273.05200000000002</v>
      </c>
      <c r="CM15">
        <v>2627</v>
      </c>
      <c r="CN15">
        <v>67.17</v>
      </c>
      <c r="CO15">
        <v>71.719999999999899</v>
      </c>
      <c r="CP15">
        <v>100.73</v>
      </c>
    </row>
    <row r="16" spans="1:94" x14ac:dyDescent="0.35">
      <c r="A16">
        <v>2014</v>
      </c>
      <c r="B16">
        <v>676.72400000000005</v>
      </c>
      <c r="C16">
        <v>2.5323076923076924</v>
      </c>
      <c r="D16">
        <v>271.76600000000002</v>
      </c>
      <c r="E16">
        <v>2148</v>
      </c>
      <c r="F16">
        <v>51.58</v>
      </c>
      <c r="G16">
        <v>697344</v>
      </c>
      <c r="H16">
        <v>151</v>
      </c>
      <c r="I16">
        <v>51.21</v>
      </c>
      <c r="J16">
        <v>6.21</v>
      </c>
      <c r="K16">
        <v>167</v>
      </c>
      <c r="L16">
        <v>34905.423920000001</v>
      </c>
      <c r="M16">
        <v>175428.42392</v>
      </c>
      <c r="N16">
        <v>140523</v>
      </c>
      <c r="O16">
        <v>19946.211799704</v>
      </c>
      <c r="P16">
        <v>0.1137</v>
      </c>
      <c r="Q16">
        <v>3.1018999999999999E-3</v>
      </c>
      <c r="R16">
        <v>112631.21114859999</v>
      </c>
      <c r="S16">
        <v>36310394</v>
      </c>
      <c r="T16">
        <v>1619.8309999999999</v>
      </c>
      <c r="U16">
        <v>10108</v>
      </c>
      <c r="V16">
        <v>2774.8690000000001</v>
      </c>
      <c r="W16">
        <v>2202.9349999999999</v>
      </c>
      <c r="X16">
        <v>274.99700000000001</v>
      </c>
      <c r="Y16" s="7">
        <v>308727</v>
      </c>
      <c r="Z16">
        <v>5.6000000000000001E-2</v>
      </c>
      <c r="AA16">
        <v>1095.8406</v>
      </c>
      <c r="AB16">
        <v>2109476</v>
      </c>
      <c r="AC16">
        <v>34277.011930000001</v>
      </c>
      <c r="AD16">
        <v>2202935</v>
      </c>
      <c r="AE16">
        <v>33441.872000000003</v>
      </c>
      <c r="AF16">
        <v>10108</v>
      </c>
      <c r="AG16">
        <v>255.12807599999999</v>
      </c>
      <c r="AH16">
        <v>52.634999999999998</v>
      </c>
      <c r="AI16">
        <v>3.3040594662175993</v>
      </c>
      <c r="AJ16">
        <v>30712.538</v>
      </c>
      <c r="AK16">
        <v>269</v>
      </c>
      <c r="AL16">
        <v>70908000</v>
      </c>
      <c r="AM16">
        <v>-962104</v>
      </c>
      <c r="AN16">
        <v>2202935</v>
      </c>
      <c r="AO16">
        <v>9638</v>
      </c>
      <c r="AP16">
        <v>4938</v>
      </c>
      <c r="AQ16">
        <v>8941</v>
      </c>
      <c r="AR16">
        <v>11357.4</v>
      </c>
      <c r="AS16">
        <v>5328</v>
      </c>
      <c r="AT16">
        <v>8941</v>
      </c>
      <c r="AU16">
        <v>4097</v>
      </c>
      <c r="AV16">
        <v>2592622</v>
      </c>
      <c r="AW16">
        <v>3631039</v>
      </c>
      <c r="AX16">
        <v>5184</v>
      </c>
      <c r="AY16">
        <v>470</v>
      </c>
      <c r="AZ16">
        <v>175428.42392</v>
      </c>
      <c r="BA16">
        <v>-2.2795035233493029E-2</v>
      </c>
      <c r="BB16">
        <v>4623</v>
      </c>
      <c r="BC16">
        <v>470</v>
      </c>
      <c r="BD16">
        <v>175428.42392</v>
      </c>
      <c r="BE16">
        <v>4992.3180000000002</v>
      </c>
      <c r="BF16">
        <v>16978.238000000001</v>
      </c>
      <c r="BG16">
        <v>254702.03999999998</v>
      </c>
      <c r="BH16">
        <v>294450</v>
      </c>
      <c r="BI16">
        <v>3231.5</v>
      </c>
      <c r="BJ16">
        <v>74000</v>
      </c>
      <c r="BK16">
        <v>348656</v>
      </c>
      <c r="BL16">
        <v>55.25</v>
      </c>
      <c r="BM16">
        <v>74.37</v>
      </c>
      <c r="BN16">
        <v>538</v>
      </c>
      <c r="BO16">
        <v>94.05</v>
      </c>
      <c r="BP16">
        <v>3491</v>
      </c>
      <c r="BQ16">
        <v>36722.03</v>
      </c>
      <c r="BR16">
        <v>59.67</v>
      </c>
      <c r="BS16">
        <v>105.52</v>
      </c>
      <c r="BT16">
        <v>883.92</v>
      </c>
      <c r="BU16">
        <v>72.039999999999907</v>
      </c>
      <c r="BV16">
        <v>101.58</v>
      </c>
      <c r="BW16">
        <v>17334780</v>
      </c>
      <c r="BX16">
        <v>4992.3180000000002</v>
      </c>
      <c r="BY16">
        <v>48.87</v>
      </c>
      <c r="BZ16">
        <v>1516667</v>
      </c>
      <c r="CA16">
        <v>155</v>
      </c>
      <c r="CB16">
        <v>3231500</v>
      </c>
      <c r="CC16">
        <v>74000</v>
      </c>
      <c r="CD16">
        <v>348656</v>
      </c>
      <c r="CE16">
        <v>55.25</v>
      </c>
      <c r="CF16">
        <v>74.37</v>
      </c>
      <c r="CG16">
        <v>538</v>
      </c>
      <c r="CH16">
        <v>94.05</v>
      </c>
      <c r="CI16">
        <v>59.67</v>
      </c>
      <c r="CJ16">
        <v>105.52</v>
      </c>
      <c r="CK16">
        <v>883.92</v>
      </c>
      <c r="CL16">
        <v>271.76600000000002</v>
      </c>
      <c r="CM16">
        <v>2148</v>
      </c>
      <c r="CN16">
        <v>66.92</v>
      </c>
      <c r="CO16">
        <v>72.039999999999907</v>
      </c>
      <c r="CP16">
        <v>101.58</v>
      </c>
    </row>
    <row r="17" spans="1:94" x14ac:dyDescent="0.35">
      <c r="A17">
        <v>2015</v>
      </c>
      <c r="B17">
        <v>731.81100000000004</v>
      </c>
      <c r="C17">
        <v>2.6476923076923078</v>
      </c>
      <c r="D17">
        <v>263.94299999999998</v>
      </c>
      <c r="E17">
        <v>975.9</v>
      </c>
      <c r="F17">
        <v>52.87</v>
      </c>
      <c r="G17">
        <v>676724</v>
      </c>
      <c r="H17">
        <v>123</v>
      </c>
      <c r="I17">
        <v>51.58</v>
      </c>
      <c r="J17">
        <v>7.73</v>
      </c>
      <c r="K17">
        <v>151</v>
      </c>
      <c r="L17">
        <v>38690.847569999998</v>
      </c>
      <c r="M17">
        <v>214639.84756999998</v>
      </c>
      <c r="N17">
        <v>175949</v>
      </c>
      <c r="O17">
        <v>25048.470211418997</v>
      </c>
      <c r="P17">
        <v>0.1167</v>
      </c>
      <c r="Q17">
        <v>3.026E-3</v>
      </c>
      <c r="R17">
        <v>122396.546722</v>
      </c>
      <c r="S17">
        <v>40448297</v>
      </c>
      <c r="T17">
        <v>1619.83</v>
      </c>
      <c r="U17">
        <v>11395</v>
      </c>
      <c r="V17">
        <v>3202.0219999999999</v>
      </c>
      <c r="W17">
        <v>1858.4749999999999</v>
      </c>
      <c r="X17">
        <v>645.08699999999999</v>
      </c>
      <c r="Y17" s="7">
        <v>274997</v>
      </c>
      <c r="Z17">
        <v>5.3999999999999999E-2</v>
      </c>
      <c r="AA17">
        <v>1273.7805000000001</v>
      </c>
      <c r="AB17">
        <v>1619831</v>
      </c>
      <c r="AC17">
        <v>38709.020219999999</v>
      </c>
      <c r="AD17">
        <v>1858475</v>
      </c>
      <c r="AE17">
        <v>36201.224999999999</v>
      </c>
      <c r="AF17">
        <v>11395</v>
      </c>
      <c r="AG17">
        <v>258.38325700000001</v>
      </c>
      <c r="AH17">
        <v>53.313000000000002</v>
      </c>
      <c r="AI17">
        <v>3.3042750504771283</v>
      </c>
      <c r="AJ17">
        <v>33441.872000000003</v>
      </c>
      <c r="AK17">
        <v>275</v>
      </c>
      <c r="AL17">
        <v>93806000</v>
      </c>
      <c r="AM17">
        <v>4137903</v>
      </c>
      <c r="AN17">
        <v>1858475</v>
      </c>
      <c r="AO17">
        <v>10915</v>
      </c>
      <c r="AP17">
        <v>5163</v>
      </c>
      <c r="AQ17">
        <v>9638</v>
      </c>
      <c r="AR17">
        <v>11874.9</v>
      </c>
      <c r="AS17">
        <v>5627</v>
      </c>
      <c r="AT17">
        <v>9638</v>
      </c>
      <c r="AU17">
        <v>4288</v>
      </c>
      <c r="AV17">
        <v>3001625</v>
      </c>
      <c r="AW17">
        <v>4044829</v>
      </c>
      <c r="AX17">
        <v>5421</v>
      </c>
      <c r="AY17">
        <v>480</v>
      </c>
      <c r="AZ17">
        <v>214639.84756999998</v>
      </c>
      <c r="BA17">
        <v>4.4913482684453467E-3</v>
      </c>
      <c r="BB17">
        <v>4938</v>
      </c>
      <c r="BC17">
        <v>480</v>
      </c>
      <c r="BD17">
        <v>214639.84756999998</v>
      </c>
      <c r="BE17">
        <v>5271.4229999999998</v>
      </c>
      <c r="BF17">
        <v>17278.391</v>
      </c>
      <c r="BG17">
        <v>272967.81</v>
      </c>
      <c r="BH17">
        <v>239850</v>
      </c>
      <c r="BI17">
        <v>3825</v>
      </c>
      <c r="BJ17">
        <v>87000</v>
      </c>
      <c r="BK17">
        <v>282292</v>
      </c>
      <c r="BL17">
        <v>61.63</v>
      </c>
      <c r="BM17">
        <v>77.27</v>
      </c>
      <c r="BN17">
        <v>551</v>
      </c>
      <c r="BO17">
        <v>93.61</v>
      </c>
      <c r="BP17">
        <v>3331</v>
      </c>
      <c r="BQ17">
        <v>37456.47</v>
      </c>
      <c r="BR17">
        <v>55.25</v>
      </c>
      <c r="BS17">
        <v>98.56</v>
      </c>
      <c r="BT17">
        <v>961.13</v>
      </c>
      <c r="BU17">
        <v>72.3599999999999</v>
      </c>
      <c r="BV17">
        <v>105.52</v>
      </c>
      <c r="BW17">
        <v>17831299</v>
      </c>
      <c r="BX17">
        <v>5271.4229999999998</v>
      </c>
      <c r="BY17">
        <v>54.16</v>
      </c>
      <c r="BZ17">
        <v>1943333</v>
      </c>
      <c r="CA17">
        <v>134</v>
      </c>
      <c r="CB17">
        <v>3825000</v>
      </c>
      <c r="CC17">
        <v>87000</v>
      </c>
      <c r="CD17">
        <v>282292</v>
      </c>
      <c r="CE17">
        <v>61.63</v>
      </c>
      <c r="CF17">
        <v>77.27</v>
      </c>
      <c r="CG17">
        <v>551</v>
      </c>
      <c r="CH17">
        <v>93.61</v>
      </c>
      <c r="CI17">
        <v>55.25</v>
      </c>
      <c r="CJ17">
        <v>98.56</v>
      </c>
      <c r="CK17">
        <v>961.13</v>
      </c>
      <c r="CL17">
        <v>263.94299999999998</v>
      </c>
      <c r="CM17">
        <v>975.9</v>
      </c>
      <c r="CN17">
        <v>67.180000000000007</v>
      </c>
      <c r="CO17">
        <v>72.3599999999999</v>
      </c>
      <c r="CP17">
        <v>105.52</v>
      </c>
    </row>
    <row r="18" spans="1:94" x14ac:dyDescent="0.35">
      <c r="A18">
        <v>2016</v>
      </c>
      <c r="B18">
        <v>826.69580000000008</v>
      </c>
      <c r="C18">
        <v>2.6625000000000001</v>
      </c>
      <c r="D18">
        <v>261.47000000000003</v>
      </c>
      <c r="E18">
        <v>1873</v>
      </c>
      <c r="F18">
        <v>53.07</v>
      </c>
      <c r="G18">
        <v>731811</v>
      </c>
      <c r="H18">
        <v>122</v>
      </c>
      <c r="I18">
        <v>52.87</v>
      </c>
      <c r="J18">
        <v>8.5299999999999994</v>
      </c>
      <c r="K18">
        <v>123</v>
      </c>
      <c r="L18">
        <v>43872.746106000006</v>
      </c>
      <c r="M18">
        <v>266627.74610600004</v>
      </c>
      <c r="N18">
        <v>222755</v>
      </c>
      <c r="O18">
        <v>30822.167449853601</v>
      </c>
      <c r="P18">
        <v>0.11559999999999999</v>
      </c>
      <c r="Q18">
        <v>3.0148000000000002E-3</v>
      </c>
      <c r="R18">
        <v>142247.11243800001</v>
      </c>
      <c r="S18">
        <v>47182935</v>
      </c>
      <c r="T18">
        <v>1324.712</v>
      </c>
      <c r="U18">
        <v>12061</v>
      </c>
      <c r="V18">
        <v>2782.326</v>
      </c>
      <c r="W18">
        <v>2845.3530000000001</v>
      </c>
      <c r="X18">
        <v>548.59500000000003</v>
      </c>
      <c r="Y18" s="7">
        <v>645087</v>
      </c>
      <c r="Z18">
        <v>0.05</v>
      </c>
      <c r="AA18">
        <v>1330.6715999999999</v>
      </c>
      <c r="AB18">
        <v>1619830</v>
      </c>
      <c r="AC18">
        <v>45720.264009999999</v>
      </c>
      <c r="AD18">
        <v>2845353</v>
      </c>
      <c r="AE18">
        <v>39058.033000000003</v>
      </c>
      <c r="AF18">
        <v>12061</v>
      </c>
      <c r="AG18">
        <v>261.55638599999997</v>
      </c>
      <c r="AH18">
        <v>53.988999999999997</v>
      </c>
      <c r="AI18">
        <v>3.3044905277734875</v>
      </c>
      <c r="AJ18">
        <v>36201.224999999999</v>
      </c>
      <c r="AK18">
        <v>311</v>
      </c>
      <c r="AL18">
        <v>83303200</v>
      </c>
      <c r="AM18">
        <v>6734638</v>
      </c>
      <c r="AN18">
        <v>2845353</v>
      </c>
      <c r="AO18">
        <v>11511</v>
      </c>
      <c r="AP18">
        <v>5325</v>
      </c>
      <c r="AQ18">
        <v>10915</v>
      </c>
      <c r="AR18">
        <v>12247.499999999998</v>
      </c>
      <c r="AS18">
        <v>6123</v>
      </c>
      <c r="AT18">
        <v>10915</v>
      </c>
      <c r="AU18">
        <v>4426</v>
      </c>
      <c r="AV18">
        <v>3579921</v>
      </c>
      <c r="AW18">
        <v>4609790.9000000004</v>
      </c>
      <c r="AX18">
        <v>5591</v>
      </c>
      <c r="AY18">
        <v>550</v>
      </c>
      <c r="AZ18">
        <v>266627.74610600004</v>
      </c>
      <c r="BA18">
        <v>5.0363626290551595E-3</v>
      </c>
      <c r="BB18">
        <v>5163</v>
      </c>
      <c r="BC18">
        <v>550</v>
      </c>
      <c r="BD18">
        <v>266627.74610600004</v>
      </c>
      <c r="BE18">
        <v>5596.5749999999998</v>
      </c>
      <c r="BF18">
        <v>17678.234</v>
      </c>
      <c r="BG18">
        <v>282597.75</v>
      </c>
      <c r="BH18">
        <v>244000</v>
      </c>
      <c r="BI18">
        <v>3849.6</v>
      </c>
      <c r="BJ18">
        <v>93000</v>
      </c>
      <c r="BK18">
        <v>372558</v>
      </c>
      <c r="BL18">
        <v>58.91</v>
      </c>
      <c r="BM18">
        <v>77.290000000000006</v>
      </c>
      <c r="BN18">
        <v>539</v>
      </c>
      <c r="BO18">
        <v>93.5</v>
      </c>
      <c r="BP18">
        <v>3562</v>
      </c>
      <c r="BQ18">
        <v>38264.19</v>
      </c>
      <c r="BR18">
        <v>61.63</v>
      </c>
      <c r="BS18">
        <v>97.72</v>
      </c>
      <c r="BT18">
        <v>973.61</v>
      </c>
      <c r="BU18">
        <v>72.679999999999893</v>
      </c>
      <c r="BV18">
        <v>98.56</v>
      </c>
      <c r="BW18">
        <v>17306991</v>
      </c>
      <c r="BX18">
        <v>5596.5749999999998</v>
      </c>
      <c r="BY18">
        <v>51.36</v>
      </c>
      <c r="BZ18">
        <v>2074286</v>
      </c>
      <c r="CA18">
        <v>132</v>
      </c>
      <c r="CB18">
        <v>3849600</v>
      </c>
      <c r="CC18">
        <v>93000</v>
      </c>
      <c r="CD18">
        <v>372558</v>
      </c>
      <c r="CE18">
        <v>58.91</v>
      </c>
      <c r="CF18">
        <v>77.290000000000006</v>
      </c>
      <c r="CG18">
        <v>539</v>
      </c>
      <c r="CH18">
        <v>93.5</v>
      </c>
      <c r="CI18">
        <v>61.63</v>
      </c>
      <c r="CJ18">
        <v>97.72</v>
      </c>
      <c r="CK18">
        <v>973.61</v>
      </c>
      <c r="CL18">
        <v>261.47000000000003</v>
      </c>
      <c r="CM18">
        <v>1873</v>
      </c>
      <c r="CN18">
        <v>72.430000000000007</v>
      </c>
      <c r="CO18">
        <v>72.679999999999893</v>
      </c>
      <c r="CP18">
        <v>98.56</v>
      </c>
    </row>
    <row r="19" spans="1:94" x14ac:dyDescent="0.35">
      <c r="A19">
        <v>2017</v>
      </c>
      <c r="B19">
        <v>864.28330000000005</v>
      </c>
      <c r="C19">
        <v>2.7669767441860467</v>
      </c>
      <c r="D19">
        <v>260.02100000000002</v>
      </c>
      <c r="E19">
        <v>2102</v>
      </c>
      <c r="F19">
        <v>54.03</v>
      </c>
      <c r="G19">
        <v>826695.8</v>
      </c>
      <c r="H19">
        <v>125</v>
      </c>
      <c r="I19">
        <v>53.07</v>
      </c>
      <c r="J19">
        <v>9.43</v>
      </c>
      <c r="K19">
        <v>122</v>
      </c>
      <c r="L19">
        <v>46697.226699000006</v>
      </c>
      <c r="M19">
        <v>513104.32669899997</v>
      </c>
      <c r="N19">
        <v>466407.1</v>
      </c>
      <c r="O19">
        <v>60135.827089122795</v>
      </c>
      <c r="P19">
        <v>0.1172</v>
      </c>
      <c r="Q19">
        <v>2.9610000000000001E-3</v>
      </c>
      <c r="R19">
        <v>175404.59741700001</v>
      </c>
      <c r="S19">
        <v>59238297</v>
      </c>
      <c r="T19">
        <v>1618.194</v>
      </c>
      <c r="U19">
        <v>12185</v>
      </c>
      <c r="V19">
        <v>2542.4050000000002</v>
      </c>
      <c r="W19">
        <v>3325.7220000000002</v>
      </c>
      <c r="X19">
        <v>1485.627</v>
      </c>
      <c r="Y19" s="7">
        <v>548595</v>
      </c>
      <c r="Z19">
        <v>5.8000000000000003E-2</v>
      </c>
      <c r="AA19">
        <v>1351.902</v>
      </c>
      <c r="AB19">
        <v>1324712</v>
      </c>
      <c r="AC19">
        <v>57401.909789999998</v>
      </c>
      <c r="AD19">
        <v>3325722</v>
      </c>
      <c r="AE19">
        <v>48693.88</v>
      </c>
      <c r="AF19">
        <v>12185</v>
      </c>
      <c r="AG19">
        <v>264.65096899999998</v>
      </c>
      <c r="AH19">
        <v>54.658999999999999</v>
      </c>
      <c r="AI19">
        <v>3.3047058982127653</v>
      </c>
      <c r="AJ19">
        <v>39058.033000000003</v>
      </c>
      <c r="AK19">
        <v>362</v>
      </c>
      <c r="AL19">
        <v>85352400</v>
      </c>
      <c r="AM19">
        <v>12055362</v>
      </c>
      <c r="AN19">
        <v>3325722</v>
      </c>
      <c r="AO19">
        <v>11535</v>
      </c>
      <c r="AP19">
        <v>5949</v>
      </c>
      <c r="AQ19">
        <v>11511</v>
      </c>
      <c r="AR19">
        <v>13682.699999999999</v>
      </c>
      <c r="AS19">
        <v>6841</v>
      </c>
      <c r="AT19">
        <v>11511</v>
      </c>
      <c r="AU19">
        <v>5056</v>
      </c>
      <c r="AV19">
        <v>4175670</v>
      </c>
      <c r="AW19">
        <v>5136184.5999999996</v>
      </c>
      <c r="AX19">
        <v>6246</v>
      </c>
      <c r="AY19">
        <v>650</v>
      </c>
      <c r="AZ19">
        <v>513104.32669899997</v>
      </c>
      <c r="BA19">
        <v>6.3179365558516465E-3</v>
      </c>
      <c r="BB19">
        <v>5325</v>
      </c>
      <c r="BC19">
        <v>650</v>
      </c>
      <c r="BD19">
        <v>513104.32669899997</v>
      </c>
      <c r="BE19">
        <v>6073.9290000000001</v>
      </c>
      <c r="BF19">
        <v>18156.723000000002</v>
      </c>
      <c r="BG19">
        <v>321424.47000000003</v>
      </c>
      <c r="BH19">
        <v>268750</v>
      </c>
      <c r="BI19">
        <v>4340.1000000000004</v>
      </c>
      <c r="BJ19">
        <v>105000</v>
      </c>
      <c r="BK19">
        <v>324003</v>
      </c>
      <c r="BL19">
        <v>67.209999999999994</v>
      </c>
      <c r="BM19">
        <v>77.42</v>
      </c>
      <c r="BN19">
        <v>534</v>
      </c>
      <c r="BO19">
        <v>93.59</v>
      </c>
      <c r="BP19">
        <v>3837</v>
      </c>
      <c r="BQ19">
        <v>37882.71</v>
      </c>
      <c r="BR19">
        <v>58.91</v>
      </c>
      <c r="BS19">
        <v>102.98</v>
      </c>
      <c r="BT19">
        <v>975.63</v>
      </c>
      <c r="BU19">
        <v>72.999999999999901</v>
      </c>
      <c r="BV19">
        <v>97.72</v>
      </c>
      <c r="BW19">
        <v>19572947</v>
      </c>
      <c r="BX19">
        <v>6073.9290000000001</v>
      </c>
      <c r="BY19">
        <v>55.32</v>
      </c>
      <c r="BZ19">
        <v>2074286</v>
      </c>
      <c r="CA19">
        <v>136</v>
      </c>
      <c r="CB19">
        <v>4340100</v>
      </c>
      <c r="CC19">
        <v>105000</v>
      </c>
      <c r="CD19">
        <v>324003</v>
      </c>
      <c r="CE19">
        <v>67.209999999999994</v>
      </c>
      <c r="CF19">
        <v>77.42</v>
      </c>
      <c r="CG19">
        <v>534</v>
      </c>
      <c r="CH19">
        <v>93.59</v>
      </c>
      <c r="CI19">
        <v>58.91</v>
      </c>
      <c r="CJ19">
        <v>102.98</v>
      </c>
      <c r="CK19">
        <v>975.63</v>
      </c>
      <c r="CL19">
        <v>260.02100000000002</v>
      </c>
      <c r="CM19">
        <v>2102</v>
      </c>
      <c r="CN19">
        <v>72.56</v>
      </c>
      <c r="CO19">
        <v>72.999999999999901</v>
      </c>
      <c r="CP19">
        <v>97.72</v>
      </c>
    </row>
    <row r="20" spans="1:94" x14ac:dyDescent="0.35">
      <c r="A20">
        <v>2018</v>
      </c>
      <c r="B20">
        <v>894.15009999999995</v>
      </c>
      <c r="C20">
        <v>2.5740909090909092</v>
      </c>
      <c r="D20">
        <v>164.55600000000001</v>
      </c>
      <c r="E20">
        <v>2129</v>
      </c>
      <c r="F20">
        <v>52.17</v>
      </c>
      <c r="G20">
        <v>864283.3</v>
      </c>
      <c r="H20">
        <v>135</v>
      </c>
      <c r="I20">
        <v>54.03</v>
      </c>
      <c r="J20">
        <v>10.24</v>
      </c>
      <c r="K20">
        <v>125</v>
      </c>
      <c r="L20">
        <v>46647.810717</v>
      </c>
      <c r="M20">
        <v>847000.65071700001</v>
      </c>
      <c r="N20">
        <v>800352.84</v>
      </c>
      <c r="O20">
        <v>103588.1795826891</v>
      </c>
      <c r="P20">
        <v>0.12230000000000001</v>
      </c>
      <c r="Q20">
        <v>3.0668000000000002E-3</v>
      </c>
      <c r="R20">
        <v>181556.206012896</v>
      </c>
      <c r="S20">
        <v>59200536.719999999</v>
      </c>
      <c r="T20">
        <v>945.53200000000004</v>
      </c>
      <c r="U20">
        <v>12804</v>
      </c>
      <c r="V20">
        <v>1207.269</v>
      </c>
      <c r="W20">
        <v>1404.8389999999999</v>
      </c>
      <c r="X20">
        <v>1787.3</v>
      </c>
      <c r="Y20" s="7">
        <v>1485627</v>
      </c>
      <c r="Z20">
        <v>5.7000000000000002E-2</v>
      </c>
      <c r="AA20">
        <v>1474.2042000000001</v>
      </c>
      <c r="AB20">
        <v>1618194</v>
      </c>
      <c r="AC20">
        <v>57365.320079999998</v>
      </c>
      <c r="AD20">
        <v>1404839</v>
      </c>
      <c r="AE20">
        <v>54878.896999999997</v>
      </c>
      <c r="AF20">
        <v>12804</v>
      </c>
      <c r="AG20">
        <v>267.67054899999999</v>
      </c>
      <c r="AH20">
        <v>55.325000000000003</v>
      </c>
      <c r="AI20">
        <v>3.3049211619008916</v>
      </c>
      <c r="AJ20">
        <v>48693.88</v>
      </c>
      <c r="AK20">
        <v>413</v>
      </c>
      <c r="AL20">
        <v>92678400</v>
      </c>
      <c r="AM20">
        <v>-37760.280000001192</v>
      </c>
      <c r="AN20">
        <v>1404839</v>
      </c>
      <c r="AO20">
        <v>12054</v>
      </c>
      <c r="AP20">
        <v>5663</v>
      </c>
      <c r="AQ20">
        <v>11535</v>
      </c>
      <c r="AR20">
        <v>13024.9</v>
      </c>
      <c r="AS20">
        <v>6512</v>
      </c>
      <c r="AT20">
        <v>11535</v>
      </c>
      <c r="AU20">
        <v>4813</v>
      </c>
      <c r="AV20">
        <v>4978302</v>
      </c>
      <c r="AW20">
        <v>5465218.4500000002</v>
      </c>
      <c r="AX20">
        <v>5946</v>
      </c>
      <c r="AY20">
        <v>750</v>
      </c>
      <c r="AZ20">
        <v>847000.65071700001</v>
      </c>
      <c r="BA20">
        <v>4.2695880682185059E-3</v>
      </c>
      <c r="BB20">
        <v>5949</v>
      </c>
      <c r="BC20">
        <v>750</v>
      </c>
      <c r="BD20">
        <v>847000.65071700001</v>
      </c>
      <c r="BE20">
        <v>6121.7030000000004</v>
      </c>
      <c r="BF20">
        <v>18767.935000000001</v>
      </c>
      <c r="BG20">
        <v>295438.71000000002</v>
      </c>
      <c r="BH20">
        <v>297000</v>
      </c>
      <c r="BI20">
        <v>4457.2</v>
      </c>
      <c r="BJ20">
        <v>128000</v>
      </c>
      <c r="BK20">
        <v>312722</v>
      </c>
      <c r="BL20">
        <v>69.81</v>
      </c>
      <c r="BM20">
        <v>77.41</v>
      </c>
      <c r="BN20">
        <v>515</v>
      </c>
      <c r="BO20">
        <v>94.39</v>
      </c>
      <c r="BP20">
        <v>3893</v>
      </c>
      <c r="BQ20">
        <v>37624.089999999997</v>
      </c>
      <c r="BR20">
        <v>67.209999999999994</v>
      </c>
      <c r="BS20">
        <v>109.36</v>
      </c>
      <c r="BT20">
        <v>975.96</v>
      </c>
      <c r="BU20">
        <v>73.319999999999894</v>
      </c>
      <c r="BV20">
        <v>102.98</v>
      </c>
      <c r="BW20">
        <v>20231833</v>
      </c>
      <c r="BX20">
        <v>6121.7030000000004</v>
      </c>
      <c r="BY20">
        <v>51.46</v>
      </c>
      <c r="BZ20">
        <v>2337500</v>
      </c>
      <c r="CA20">
        <v>139</v>
      </c>
      <c r="CB20">
        <v>4457200</v>
      </c>
      <c r="CC20">
        <v>128000</v>
      </c>
      <c r="CD20">
        <v>312722</v>
      </c>
      <c r="CE20">
        <v>69.81</v>
      </c>
      <c r="CF20">
        <v>77.41</v>
      </c>
      <c r="CG20">
        <v>515</v>
      </c>
      <c r="CH20">
        <v>94.39</v>
      </c>
      <c r="CI20">
        <v>67.209999999999994</v>
      </c>
      <c r="CJ20">
        <v>109.36</v>
      </c>
      <c r="CK20">
        <v>975.96</v>
      </c>
      <c r="CL20">
        <v>164.55600000000001</v>
      </c>
      <c r="CM20">
        <v>2129</v>
      </c>
      <c r="CN20">
        <v>74.599999999999994</v>
      </c>
      <c r="CO20">
        <v>73.319999999999894</v>
      </c>
      <c r="CP20">
        <v>102.98</v>
      </c>
    </row>
    <row r="21" spans="1:94" x14ac:dyDescent="0.35">
      <c r="A21">
        <v>2019</v>
      </c>
      <c r="B21">
        <v>815.096</v>
      </c>
      <c r="C21">
        <v>2.5346666666666668</v>
      </c>
      <c r="D21">
        <v>178.37200000000001</v>
      </c>
      <c r="E21">
        <v>2522</v>
      </c>
      <c r="F21">
        <v>49.13</v>
      </c>
      <c r="G21">
        <v>894150.1</v>
      </c>
      <c r="H21">
        <v>133</v>
      </c>
      <c r="I21">
        <v>52.17</v>
      </c>
      <c r="J21">
        <v>11.45</v>
      </c>
      <c r="K21">
        <v>135</v>
      </c>
      <c r="L21">
        <v>40045.66648</v>
      </c>
      <c r="M21">
        <v>729440.96648000006</v>
      </c>
      <c r="N21">
        <v>689395.3</v>
      </c>
      <c r="O21">
        <v>87605.860074248005</v>
      </c>
      <c r="P21">
        <v>0.1201</v>
      </c>
      <c r="Q21">
        <v>3.2566000000000001E-3</v>
      </c>
      <c r="R21">
        <v>177823.50474484402</v>
      </c>
      <c r="S21">
        <v>54604036.340000004</v>
      </c>
      <c r="T21">
        <v>2193.9650000000001</v>
      </c>
      <c r="U21">
        <v>12891</v>
      </c>
      <c r="V21">
        <v>351.84800000000001</v>
      </c>
      <c r="W21">
        <v>1102.6099999999999</v>
      </c>
      <c r="X21">
        <v>1342.5640000000001</v>
      </c>
      <c r="Y21" s="7">
        <v>1787300</v>
      </c>
      <c r="Z21">
        <v>0.05</v>
      </c>
      <c r="AA21">
        <v>1452.1290999999999</v>
      </c>
      <c r="AB21">
        <v>945532</v>
      </c>
      <c r="AC21">
        <v>52911.31121</v>
      </c>
      <c r="AD21">
        <v>1102610</v>
      </c>
      <c r="AE21">
        <v>48816.008000000002</v>
      </c>
      <c r="AF21">
        <v>12891</v>
      </c>
      <c r="AG21">
        <v>270.62556699999999</v>
      </c>
      <c r="AH21">
        <v>55.984999999999999</v>
      </c>
      <c r="AI21">
        <v>3.3051363189436391</v>
      </c>
      <c r="AJ21">
        <v>54878.896999999997</v>
      </c>
      <c r="AK21">
        <v>439</v>
      </c>
      <c r="AL21">
        <v>90356500</v>
      </c>
      <c r="AM21">
        <v>-4596500.3799999952</v>
      </c>
      <c r="AN21">
        <v>1102610</v>
      </c>
      <c r="AO21">
        <v>12091</v>
      </c>
      <c r="AP21">
        <v>5703</v>
      </c>
      <c r="AQ21">
        <v>12054</v>
      </c>
      <c r="AR21">
        <v>13116.9</v>
      </c>
      <c r="AS21">
        <v>6558</v>
      </c>
      <c r="AT21">
        <v>12054</v>
      </c>
      <c r="AU21">
        <v>4847</v>
      </c>
      <c r="AV21">
        <v>5307949</v>
      </c>
      <c r="AW21">
        <v>4693562.8</v>
      </c>
      <c r="AX21">
        <v>5988</v>
      </c>
      <c r="AY21">
        <v>800</v>
      </c>
      <c r="AZ21">
        <v>729440.96648000006</v>
      </c>
      <c r="BA21">
        <v>-1.4288886500085879E-3</v>
      </c>
      <c r="BB21">
        <v>5663</v>
      </c>
      <c r="BC21">
        <v>800</v>
      </c>
      <c r="BD21">
        <v>729440.96648000006</v>
      </c>
      <c r="BE21">
        <v>5879.7929999999997</v>
      </c>
      <c r="BF21">
        <v>20269.3698</v>
      </c>
      <c r="BG21">
        <v>280188.39</v>
      </c>
      <c r="BH21">
        <v>299250</v>
      </c>
      <c r="BI21">
        <v>4439.6000000000004</v>
      </c>
      <c r="BJ21">
        <v>136000</v>
      </c>
      <c r="BK21">
        <v>350921</v>
      </c>
      <c r="BL21">
        <v>81.44</v>
      </c>
      <c r="BM21">
        <v>77.67</v>
      </c>
      <c r="BN21">
        <v>511</v>
      </c>
      <c r="BO21">
        <v>94.43</v>
      </c>
      <c r="BP21">
        <v>4135</v>
      </c>
      <c r="BQ21">
        <v>30005.65</v>
      </c>
      <c r="BR21">
        <v>69.81</v>
      </c>
      <c r="BS21">
        <v>102.85</v>
      </c>
      <c r="BT21">
        <v>976.13</v>
      </c>
      <c r="BU21">
        <v>73.639999999999901</v>
      </c>
      <c r="BV21">
        <v>109.36</v>
      </c>
      <c r="BW21">
        <v>20431524</v>
      </c>
      <c r="BX21">
        <v>5879.7929999999997</v>
      </c>
      <c r="BY21">
        <v>49.42</v>
      </c>
      <c r="BZ21">
        <v>2136000</v>
      </c>
      <c r="CA21">
        <v>144</v>
      </c>
      <c r="CB21">
        <v>4439600</v>
      </c>
      <c r="CC21">
        <v>136000</v>
      </c>
      <c r="CD21">
        <v>350921</v>
      </c>
      <c r="CE21">
        <v>81.44</v>
      </c>
      <c r="CF21">
        <v>77.67</v>
      </c>
      <c r="CG21">
        <v>511</v>
      </c>
      <c r="CH21">
        <v>94.43</v>
      </c>
      <c r="CI21">
        <v>69.81</v>
      </c>
      <c r="CJ21">
        <v>102.85</v>
      </c>
      <c r="CK21">
        <v>976.13</v>
      </c>
      <c r="CL21">
        <v>178.37200000000001</v>
      </c>
      <c r="CM21">
        <v>2522</v>
      </c>
      <c r="CN21">
        <v>67.19</v>
      </c>
      <c r="CO21">
        <v>73.639999999999901</v>
      </c>
      <c r="CP21">
        <v>109.36</v>
      </c>
    </row>
    <row r="22" spans="1:94" x14ac:dyDescent="0.35">
      <c r="A22">
        <v>2020</v>
      </c>
      <c r="B22">
        <v>855.85080000000005</v>
      </c>
      <c r="C22">
        <v>2.2454166666666668</v>
      </c>
      <c r="D22">
        <v>187.29</v>
      </c>
      <c r="E22">
        <v>2293</v>
      </c>
      <c r="F22">
        <v>50.26</v>
      </c>
      <c r="G22">
        <v>815096</v>
      </c>
      <c r="H22">
        <v>127</v>
      </c>
      <c r="I22">
        <v>49.13</v>
      </c>
      <c r="J22">
        <v>11.78</v>
      </c>
      <c r="K22">
        <v>133</v>
      </c>
      <c r="L22">
        <v>43015.061207999999</v>
      </c>
      <c r="M22">
        <v>740683.10120799998</v>
      </c>
      <c r="N22">
        <v>697668.04</v>
      </c>
      <c r="O22">
        <v>88067.220733631199</v>
      </c>
      <c r="P22">
        <v>0.11890000000000001</v>
      </c>
      <c r="Q22">
        <v>3.0103E-3</v>
      </c>
      <c r="R22">
        <v>164510.51156487199</v>
      </c>
      <c r="S22">
        <v>54649208.240000002</v>
      </c>
      <c r="T22">
        <v>1432.6591450000001</v>
      </c>
      <c r="U22">
        <v>13136</v>
      </c>
      <c r="V22">
        <v>3278.212</v>
      </c>
      <c r="W22">
        <v>1232.819</v>
      </c>
      <c r="X22">
        <v>1234.6289999999999</v>
      </c>
      <c r="Y22" s="7">
        <v>1342564</v>
      </c>
      <c r="Z22">
        <v>0.05</v>
      </c>
      <c r="AA22">
        <v>1463.7779</v>
      </c>
      <c r="AB22">
        <v>2193965</v>
      </c>
      <c r="AC22">
        <v>52955.082780000004</v>
      </c>
      <c r="AD22">
        <v>1232819</v>
      </c>
      <c r="AE22">
        <v>37052.163</v>
      </c>
      <c r="AF22">
        <v>13136</v>
      </c>
      <c r="AG22">
        <v>273.52362099999999</v>
      </c>
      <c r="AH22">
        <v>56.640999999999998</v>
      </c>
      <c r="AI22">
        <v>3.3053513694466239</v>
      </c>
      <c r="AJ22">
        <v>48816.008000000002</v>
      </c>
      <c r="AK22">
        <v>452.5</v>
      </c>
      <c r="AL22">
        <v>97324500</v>
      </c>
      <c r="AM22">
        <v>45171.89999999851</v>
      </c>
      <c r="AN22">
        <v>1232819</v>
      </c>
      <c r="AO22">
        <v>12311</v>
      </c>
      <c r="AP22">
        <v>5389</v>
      </c>
      <c r="AQ22">
        <v>12091</v>
      </c>
      <c r="AR22">
        <v>12394.699999999999</v>
      </c>
      <c r="AS22">
        <v>6197</v>
      </c>
      <c r="AT22">
        <v>12091</v>
      </c>
      <c r="AU22">
        <v>4783</v>
      </c>
      <c r="AV22">
        <v>5570727.5</v>
      </c>
      <c r="AW22">
        <v>5182335.6399999997</v>
      </c>
      <c r="AX22">
        <v>5658</v>
      </c>
      <c r="AY22">
        <v>825</v>
      </c>
      <c r="AZ22">
        <v>740683.10120799998</v>
      </c>
      <c r="BA22">
        <v>2.5222739463182943E-3</v>
      </c>
      <c r="BB22">
        <v>5703</v>
      </c>
      <c r="BC22">
        <v>825</v>
      </c>
      <c r="BD22">
        <v>740683.10120799998</v>
      </c>
      <c r="BE22">
        <v>5502.1689999999999</v>
      </c>
      <c r="BF22">
        <v>23917.856363999999</v>
      </c>
      <c r="BG22">
        <v>270851.14</v>
      </c>
      <c r="BH22">
        <v>304800</v>
      </c>
      <c r="BI22">
        <v>5080</v>
      </c>
      <c r="BJ22">
        <v>161000</v>
      </c>
      <c r="BK22">
        <v>383026</v>
      </c>
      <c r="BL22">
        <v>71.84</v>
      </c>
      <c r="BM22">
        <v>78.209999999999994</v>
      </c>
      <c r="BN22">
        <v>494</v>
      </c>
      <c r="BO22">
        <v>95.28</v>
      </c>
      <c r="BP22">
        <v>3869</v>
      </c>
      <c r="BQ22">
        <v>30005.65</v>
      </c>
      <c r="BR22">
        <v>81.44</v>
      </c>
      <c r="BS22">
        <v>106.48</v>
      </c>
      <c r="BT22">
        <v>976.02</v>
      </c>
      <c r="BU22">
        <v>73.959999999999894</v>
      </c>
      <c r="BV22">
        <v>102.85</v>
      </c>
      <c r="BW22">
        <v>24348377</v>
      </c>
      <c r="BX22">
        <v>5502.1689999999999</v>
      </c>
      <c r="BY22">
        <v>50.55</v>
      </c>
      <c r="BZ22">
        <v>2460000</v>
      </c>
      <c r="CA22">
        <v>138</v>
      </c>
      <c r="CB22">
        <v>5080000</v>
      </c>
      <c r="CC22">
        <v>161000</v>
      </c>
      <c r="CD22">
        <v>383026</v>
      </c>
      <c r="CE22">
        <v>71.84</v>
      </c>
      <c r="CF22">
        <v>78.209999999999994</v>
      </c>
      <c r="CG22">
        <v>494</v>
      </c>
      <c r="CH22">
        <v>95.28</v>
      </c>
      <c r="CI22">
        <v>81.44</v>
      </c>
      <c r="CJ22">
        <v>106.48</v>
      </c>
      <c r="CK22">
        <v>976.02</v>
      </c>
      <c r="CL22">
        <v>187.29</v>
      </c>
      <c r="CM22">
        <v>2293</v>
      </c>
      <c r="CN22">
        <v>72.69</v>
      </c>
      <c r="CO22">
        <v>73.959999999999894</v>
      </c>
      <c r="CP22">
        <v>102.85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E67"/>
  <sheetViews>
    <sheetView topLeftCell="A21" zoomScale="73" zoomScaleNormal="73" workbookViewId="0">
      <pane xSplit="2" topLeftCell="C1" activePane="topRight" state="frozen"/>
      <selection activeCell="I20" sqref="I20"/>
      <selection pane="topRight" sqref="A1:P49"/>
    </sheetView>
  </sheetViews>
  <sheetFormatPr defaultRowHeight="14.5" x14ac:dyDescent="0.35"/>
  <cols>
    <col min="1" max="1" width="2.81640625" customWidth="1"/>
    <col min="2" max="2" width="6.453125" customWidth="1"/>
    <col min="3" max="3" width="5.54296875" customWidth="1"/>
    <col min="4" max="4" width="13.453125" customWidth="1"/>
    <col min="5" max="5" width="16.54296875" customWidth="1"/>
    <col min="6" max="6" width="13.54296875" customWidth="1"/>
    <col min="7" max="7" width="15.54296875" customWidth="1"/>
    <col min="8" max="8" width="18.81640625" customWidth="1"/>
    <col min="9" max="9" width="13.26953125" customWidth="1"/>
    <col min="10" max="10" width="15.81640625" customWidth="1"/>
    <col min="11" max="11" width="19.1796875" customWidth="1"/>
    <col min="12" max="12" width="12" customWidth="1"/>
    <col min="13" max="13" width="14.453125" customWidth="1"/>
    <col min="14" max="14" width="10.81640625" customWidth="1"/>
    <col min="15" max="15" width="18.453125" customWidth="1"/>
    <col min="16" max="16" width="13.453125" customWidth="1"/>
    <col min="17" max="17" width="3.54296875" customWidth="1"/>
    <col min="18" max="18" width="6.453125" customWidth="1"/>
    <col min="19" max="19" width="5.26953125" customWidth="1"/>
    <col min="20" max="20" width="13.54296875" customWidth="1"/>
    <col min="21" max="21" width="16.1796875" customWidth="1"/>
    <col min="22" max="22" width="16.26953125" customWidth="1"/>
    <col min="23" max="23" width="15.7265625" customWidth="1"/>
    <col min="24" max="24" width="16.54296875" customWidth="1"/>
    <col min="25" max="25" width="15.26953125" customWidth="1"/>
    <col min="26" max="26" width="18.1796875" customWidth="1"/>
    <col min="27" max="27" width="16.453125" customWidth="1"/>
    <col min="28" max="28" width="11.26953125" customWidth="1"/>
    <col min="29" max="29" width="17.81640625" customWidth="1"/>
    <col min="30" max="30" width="19" customWidth="1"/>
    <col min="31" max="31" width="17.1796875" customWidth="1"/>
    <col min="32" max="32" width="5.1796875" customWidth="1"/>
    <col min="33" max="33" width="6" customWidth="1"/>
    <col min="34" max="34" width="5.1796875" customWidth="1"/>
    <col min="35" max="35" width="14.26953125" customWidth="1"/>
    <col min="36" max="36" width="16.453125" hidden="1" customWidth="1"/>
    <col min="37" max="37" width="16.7265625" customWidth="1"/>
    <col min="38" max="38" width="17.1796875" customWidth="1"/>
    <col min="39" max="39" width="18.1796875" customWidth="1"/>
    <col min="40" max="40" width="11.7265625" customWidth="1"/>
    <col min="41" max="41" width="12.81640625" customWidth="1"/>
    <col min="42" max="42" width="19.7265625" customWidth="1"/>
    <col min="43" max="43" width="18.81640625" customWidth="1"/>
    <col min="44" max="44" width="16.1796875" customWidth="1"/>
    <col min="45" max="45" width="17.7265625" customWidth="1"/>
    <col min="46" max="46" width="12.26953125" customWidth="1"/>
    <col min="47" max="47" width="1.7265625" hidden="1" customWidth="1"/>
    <col min="48" max="48" width="18.26953125" customWidth="1"/>
    <col min="49" max="49" width="5" hidden="1" customWidth="1"/>
    <col min="50" max="50" width="4.1796875" customWidth="1"/>
    <col min="51" max="51" width="6.1796875" customWidth="1"/>
    <col min="52" max="52" width="5.1796875" customWidth="1"/>
    <col min="53" max="53" width="11" customWidth="1"/>
    <col min="54" max="54" width="10.81640625" customWidth="1"/>
    <col min="55" max="55" width="9.81640625" customWidth="1"/>
    <col min="56" max="56" width="10" customWidth="1"/>
    <col min="57" max="57" width="17.54296875" customWidth="1"/>
    <col min="58" max="58" width="19.26953125" customWidth="1"/>
    <col min="59" max="59" width="17.1796875" style="9" customWidth="1"/>
    <col min="60" max="61" width="13.26953125" style="9" customWidth="1"/>
    <col min="62" max="62" width="13" customWidth="1"/>
    <col min="63" max="63" width="14.453125" style="9" customWidth="1"/>
    <col min="64" max="64" width="8.453125" style="9" customWidth="1"/>
    <col min="65" max="65" width="13.26953125" customWidth="1"/>
    <col min="66" max="66" width="10.26953125" customWidth="1"/>
    <col min="67" max="67" width="10.81640625" customWidth="1"/>
    <col min="68" max="68" width="6.453125" customWidth="1"/>
    <col min="69" max="69" width="8.54296875" customWidth="1"/>
    <col min="70" max="70" width="11" customWidth="1"/>
    <col min="71" max="71" width="10.7265625" customWidth="1"/>
    <col min="72" max="72" width="12.26953125" customWidth="1"/>
    <col min="73" max="73" width="15.453125" customWidth="1"/>
    <col min="74" max="74" width="12.1796875" customWidth="1"/>
    <col min="75" max="75" width="12.453125" customWidth="1"/>
    <col min="76" max="76" width="11.453125" customWidth="1"/>
    <col min="77" max="77" width="14" customWidth="1"/>
    <col min="78" max="78" width="11.54296875" customWidth="1"/>
    <col min="79" max="79" width="19.1796875" customWidth="1"/>
    <col min="81" max="81" width="11" customWidth="1"/>
    <col min="82" max="82" width="11.7265625" customWidth="1"/>
    <col min="83" max="83" width="11.453125" customWidth="1"/>
  </cols>
  <sheetData>
    <row r="1" spans="1:83" s="65" customFormat="1" ht="114.75" customHeight="1" x14ac:dyDescent="0.35">
      <c r="B1" s="65" t="s">
        <v>0</v>
      </c>
      <c r="C1" s="65" t="s">
        <v>435</v>
      </c>
      <c r="D1" s="65" t="s">
        <v>437</v>
      </c>
      <c r="E1" s="65" t="s">
        <v>389</v>
      </c>
      <c r="F1" s="65" t="s">
        <v>183</v>
      </c>
      <c r="G1" s="65" t="s">
        <v>180</v>
      </c>
      <c r="H1" s="65" t="s">
        <v>181</v>
      </c>
      <c r="I1" s="65" t="s">
        <v>182</v>
      </c>
      <c r="J1" s="65" t="s">
        <v>61</v>
      </c>
      <c r="K1" s="65" t="s">
        <v>62</v>
      </c>
      <c r="L1" s="65" t="s">
        <v>391</v>
      </c>
      <c r="M1" s="65" t="s">
        <v>189</v>
      </c>
      <c r="N1" s="65" t="s">
        <v>191</v>
      </c>
      <c r="O1" s="65" t="s">
        <v>390</v>
      </c>
      <c r="P1" s="65" t="s">
        <v>392</v>
      </c>
      <c r="R1" s="65" t="s">
        <v>0</v>
      </c>
      <c r="S1" s="65" t="s">
        <v>435</v>
      </c>
      <c r="T1" s="65" t="s">
        <v>190</v>
      </c>
      <c r="U1" s="65" t="s">
        <v>393</v>
      </c>
      <c r="V1" s="65" t="s">
        <v>395</v>
      </c>
      <c r="W1" s="65" t="s">
        <v>394</v>
      </c>
      <c r="X1" s="65" t="s">
        <v>398</v>
      </c>
      <c r="Y1" s="65" t="s">
        <v>396</v>
      </c>
      <c r="Z1" s="65" t="s">
        <v>397</v>
      </c>
      <c r="AA1" s="65" t="s">
        <v>399</v>
      </c>
      <c r="AB1" s="65" t="s">
        <v>60</v>
      </c>
      <c r="AC1" s="65" t="s">
        <v>400</v>
      </c>
      <c r="AD1" s="65" t="s">
        <v>58</v>
      </c>
      <c r="AE1" s="65" t="s">
        <v>57</v>
      </c>
      <c r="AG1" s="65" t="s">
        <v>0</v>
      </c>
      <c r="AH1" s="65" t="s">
        <v>435</v>
      </c>
      <c r="AI1" s="65" t="s">
        <v>401</v>
      </c>
      <c r="AJ1" s="65" t="s">
        <v>59</v>
      </c>
      <c r="AK1" s="65" t="s">
        <v>402</v>
      </c>
      <c r="AL1" s="65" t="s">
        <v>8</v>
      </c>
      <c r="AM1" s="65" t="s">
        <v>403</v>
      </c>
      <c r="AN1" s="65" t="s">
        <v>404</v>
      </c>
      <c r="AO1" s="65" t="s">
        <v>405</v>
      </c>
      <c r="AP1" s="65" t="s">
        <v>406</v>
      </c>
      <c r="AQ1" s="65" t="s">
        <v>407</v>
      </c>
      <c r="AR1" s="65" t="s">
        <v>408</v>
      </c>
      <c r="AS1" s="65" t="s">
        <v>409</v>
      </c>
      <c r="AT1" s="65" t="s">
        <v>410</v>
      </c>
      <c r="AU1" s="65" t="s">
        <v>411</v>
      </c>
      <c r="AV1" s="65" t="s">
        <v>365</v>
      </c>
      <c r="AW1" s="65" t="s">
        <v>412</v>
      </c>
      <c r="AY1" s="65" t="s">
        <v>0</v>
      </c>
      <c r="AZ1" s="65" t="s">
        <v>435</v>
      </c>
      <c r="BA1" s="65" t="s">
        <v>413</v>
      </c>
      <c r="BB1" s="65" t="s">
        <v>414</v>
      </c>
      <c r="BC1" s="65" t="s">
        <v>35</v>
      </c>
      <c r="BD1" s="65" t="s">
        <v>415</v>
      </c>
      <c r="BE1" s="65" t="s">
        <v>416</v>
      </c>
      <c r="BF1" s="65" t="s">
        <v>417</v>
      </c>
      <c r="BG1" s="65" t="s">
        <v>418</v>
      </c>
      <c r="BH1" s="65" t="s">
        <v>419</v>
      </c>
      <c r="BI1" s="65" t="s">
        <v>420</v>
      </c>
      <c r="BJ1" s="65" t="s">
        <v>421</v>
      </c>
      <c r="BK1" s="65" t="s">
        <v>422</v>
      </c>
      <c r="BL1" s="65" t="s">
        <v>423</v>
      </c>
      <c r="BM1" s="65" t="s">
        <v>424</v>
      </c>
      <c r="BN1" s="65" t="s">
        <v>64</v>
      </c>
      <c r="BO1" s="65" t="s">
        <v>63</v>
      </c>
      <c r="BQ1" s="65" t="s">
        <v>0</v>
      </c>
      <c r="BR1" s="65" t="s">
        <v>435</v>
      </c>
      <c r="BS1" s="65" t="s">
        <v>425</v>
      </c>
      <c r="BT1" s="65" t="s">
        <v>426</v>
      </c>
      <c r="BU1" s="65" t="s">
        <v>436</v>
      </c>
      <c r="BV1" s="65" t="s">
        <v>427</v>
      </c>
      <c r="BW1" s="66" t="s">
        <v>428</v>
      </c>
      <c r="BX1" s="66" t="s">
        <v>429</v>
      </c>
      <c r="BY1" s="66" t="s">
        <v>430</v>
      </c>
      <c r="BZ1" s="66" t="s">
        <v>431</v>
      </c>
      <c r="CA1" s="66" t="s">
        <v>432</v>
      </c>
      <c r="CB1" s="66" t="s">
        <v>433</v>
      </c>
      <c r="CC1" s="66" t="s">
        <v>65</v>
      </c>
      <c r="CD1" s="66" t="s">
        <v>56</v>
      </c>
      <c r="CE1" s="65" t="s">
        <v>434</v>
      </c>
    </row>
    <row r="2" spans="1:83" s="10" customFormat="1" ht="15.5" hidden="1" x14ac:dyDescent="0.35">
      <c r="B2" s="10">
        <v>1999</v>
      </c>
      <c r="C2">
        <v>1</v>
      </c>
      <c r="D2" s="44">
        <v>371848</v>
      </c>
      <c r="E2" s="44">
        <v>1872</v>
      </c>
      <c r="F2" s="44"/>
      <c r="G2" s="44"/>
      <c r="H2" s="44"/>
      <c r="I2" s="44"/>
      <c r="J2" s="45"/>
      <c r="K2" s="45"/>
      <c r="L2" s="45"/>
      <c r="M2" s="44">
        <v>32.06</v>
      </c>
      <c r="N2" s="44"/>
      <c r="O2" s="45"/>
      <c r="P2" s="45"/>
      <c r="R2" s="10">
        <v>1999</v>
      </c>
      <c r="S2">
        <v>1</v>
      </c>
      <c r="T2" s="45">
        <v>131</v>
      </c>
      <c r="U2" s="45"/>
      <c r="V2" s="45"/>
      <c r="W2" s="45"/>
      <c r="X2" s="44">
        <v>1397439</v>
      </c>
      <c r="Y2" s="45"/>
      <c r="Z2" s="45"/>
      <c r="AA2" s="45"/>
      <c r="AB2" s="45"/>
      <c r="AC2" s="44">
        <v>21189012.539999999</v>
      </c>
      <c r="AD2" s="45"/>
      <c r="AE2" s="45"/>
      <c r="AG2" s="10">
        <v>1999</v>
      </c>
      <c r="AH2">
        <v>1</v>
      </c>
      <c r="AI2" s="44">
        <v>5753</v>
      </c>
      <c r="AJ2" s="45"/>
      <c r="AK2" s="45"/>
      <c r="AL2" s="45"/>
      <c r="AM2" s="44">
        <v>1147060</v>
      </c>
      <c r="AN2" s="45"/>
      <c r="AO2" s="45"/>
      <c r="AP2" s="45"/>
      <c r="AQ2" s="45"/>
      <c r="AR2" s="44">
        <v>912947</v>
      </c>
      <c r="AS2" s="44">
        <v>26402445</v>
      </c>
      <c r="AT2" s="44">
        <v>6082</v>
      </c>
      <c r="AU2" s="45"/>
      <c r="AV2" s="45">
        <v>11145300</v>
      </c>
      <c r="AW2" s="45"/>
      <c r="AY2" s="10">
        <v>1999</v>
      </c>
      <c r="AZ2">
        <v>1</v>
      </c>
      <c r="BA2" s="45"/>
      <c r="BB2" s="45"/>
      <c r="BC2" s="45"/>
      <c r="BD2" s="45"/>
      <c r="BE2" s="45"/>
      <c r="BF2" s="45"/>
      <c r="BG2" s="45"/>
      <c r="BH2" s="45"/>
      <c r="BI2" s="45"/>
      <c r="BJ2" s="44">
        <v>1463</v>
      </c>
      <c r="BK2" s="45"/>
      <c r="BL2" s="45">
        <v>59.37</v>
      </c>
      <c r="BM2" s="45"/>
      <c r="BN2" s="45"/>
      <c r="BO2" s="45"/>
      <c r="BQ2" s="10">
        <v>1999</v>
      </c>
      <c r="BR2">
        <v>1</v>
      </c>
      <c r="BS2" s="45"/>
      <c r="BT2" s="45"/>
      <c r="BU2" s="45"/>
      <c r="BV2" s="45"/>
      <c r="BW2" s="46"/>
      <c r="BX2" s="46">
        <v>100.32</v>
      </c>
      <c r="BY2" s="46"/>
      <c r="BZ2" s="46"/>
      <c r="CA2" s="46"/>
      <c r="CB2" s="46"/>
      <c r="CC2" s="46"/>
      <c r="CD2" s="46"/>
      <c r="CE2" s="45"/>
    </row>
    <row r="3" spans="1:83" s="10" customFormat="1" ht="15.5" hidden="1" x14ac:dyDescent="0.35">
      <c r="C3">
        <v>2</v>
      </c>
      <c r="D3" s="44">
        <v>373823</v>
      </c>
      <c r="E3" s="44">
        <v>1881</v>
      </c>
      <c r="F3" s="44"/>
      <c r="G3" s="44"/>
      <c r="H3" s="44"/>
      <c r="I3" s="44"/>
      <c r="J3" s="45"/>
      <c r="K3" s="45"/>
      <c r="L3" s="45"/>
      <c r="M3" s="44">
        <v>31.695</v>
      </c>
      <c r="N3" s="44"/>
      <c r="O3" s="45"/>
      <c r="P3" s="45"/>
      <c r="S3">
        <v>2</v>
      </c>
      <c r="T3" s="44">
        <v>130</v>
      </c>
      <c r="U3" s="45"/>
      <c r="V3" s="45"/>
      <c r="W3" s="45"/>
      <c r="X3" s="44">
        <v>1440364.5</v>
      </c>
      <c r="Y3" s="45"/>
      <c r="Z3" s="45"/>
      <c r="AA3" s="45"/>
      <c r="AB3" s="45"/>
      <c r="AC3" s="44">
        <v>21561904.07</v>
      </c>
      <c r="AD3" s="45"/>
      <c r="AE3" s="45"/>
      <c r="AH3">
        <v>2</v>
      </c>
      <c r="AI3" s="44">
        <v>6073.5</v>
      </c>
      <c r="AJ3" s="45"/>
      <c r="AK3" s="45"/>
      <c r="AL3" s="45"/>
      <c r="AM3" s="44">
        <v>1159362.5</v>
      </c>
      <c r="AN3" s="45"/>
      <c r="AO3" s="45"/>
      <c r="AP3" s="45"/>
      <c r="AQ3" s="45"/>
      <c r="AR3" s="44"/>
      <c r="AS3" s="44"/>
      <c r="AT3" s="44"/>
      <c r="AU3" s="45"/>
      <c r="AV3" s="45">
        <v>11306300</v>
      </c>
      <c r="AW3" s="45"/>
      <c r="AZ3">
        <v>2</v>
      </c>
      <c r="BA3" s="45"/>
      <c r="BB3" s="45"/>
      <c r="BC3" s="45"/>
      <c r="BD3" s="45"/>
      <c r="BE3" s="45"/>
      <c r="BF3" s="45"/>
      <c r="BG3" s="45"/>
      <c r="BH3" s="45"/>
      <c r="BI3" s="45"/>
      <c r="BJ3" s="44"/>
      <c r="BK3" s="45"/>
      <c r="BL3" s="45"/>
      <c r="BM3" s="45"/>
      <c r="BN3" s="45"/>
      <c r="BO3" s="45"/>
      <c r="BR3">
        <v>2</v>
      </c>
      <c r="BS3" s="45"/>
      <c r="BT3" s="45"/>
      <c r="BU3" s="45"/>
      <c r="BV3" s="45"/>
      <c r="BW3" s="46"/>
      <c r="BX3" s="44">
        <v>102.985</v>
      </c>
      <c r="BY3" s="46"/>
      <c r="BZ3" s="46"/>
      <c r="CA3" s="46"/>
      <c r="CB3" s="46"/>
      <c r="CC3" s="46"/>
      <c r="CD3" s="46"/>
      <c r="CE3" s="45"/>
    </row>
    <row r="4" spans="1:83" ht="15.5" x14ac:dyDescent="0.35">
      <c r="A4" t="s">
        <v>367</v>
      </c>
      <c r="B4">
        <v>2000</v>
      </c>
      <c r="C4">
        <v>1</v>
      </c>
      <c r="D4" s="44">
        <v>375798</v>
      </c>
      <c r="E4" s="44">
        <v>1890</v>
      </c>
      <c r="F4" s="44">
        <v>1948.59</v>
      </c>
      <c r="G4" s="44">
        <v>2073</v>
      </c>
      <c r="H4" s="44">
        <v>1406</v>
      </c>
      <c r="I4" s="44">
        <v>1984</v>
      </c>
      <c r="J4" s="44">
        <v>61811</v>
      </c>
      <c r="K4" s="44">
        <v>1050</v>
      </c>
      <c r="L4" s="44">
        <v>2249</v>
      </c>
      <c r="M4" s="44">
        <v>31.33</v>
      </c>
      <c r="N4" s="44">
        <v>32.619999999999997</v>
      </c>
      <c r="O4" s="44">
        <v>604489</v>
      </c>
      <c r="P4" s="44">
        <v>2.64</v>
      </c>
      <c r="Q4" t="s">
        <v>367</v>
      </c>
      <c r="R4">
        <v>2000</v>
      </c>
      <c r="S4">
        <v>1</v>
      </c>
      <c r="T4" s="44">
        <v>129</v>
      </c>
      <c r="U4" s="44">
        <v>140</v>
      </c>
      <c r="V4" s="44">
        <v>1444295</v>
      </c>
      <c r="W4" s="44">
        <v>38995</v>
      </c>
      <c r="X4" s="44">
        <v>1483290</v>
      </c>
      <c r="Y4" s="44">
        <v>344134</v>
      </c>
      <c r="Z4" s="44">
        <v>2188</v>
      </c>
      <c r="AA4" s="44">
        <v>46.84</v>
      </c>
      <c r="AB4" s="44">
        <v>30.64</v>
      </c>
      <c r="AC4" s="44">
        <v>21934795.600000001</v>
      </c>
      <c r="AD4" s="44">
        <v>23248753.77</v>
      </c>
      <c r="AE4" s="44">
        <v>0.1182</v>
      </c>
      <c r="AF4" t="s">
        <v>367</v>
      </c>
      <c r="AG4">
        <v>2000</v>
      </c>
      <c r="AH4">
        <v>1</v>
      </c>
      <c r="AI4" s="44">
        <v>6394</v>
      </c>
      <c r="AJ4" s="44">
        <v>2.3999999999999998E-3</v>
      </c>
      <c r="AK4" s="44">
        <v>1526345</v>
      </c>
      <c r="AL4" s="44">
        <v>758726</v>
      </c>
      <c r="AM4" s="44">
        <v>1171665</v>
      </c>
      <c r="AN4" s="44">
        <v>5.8000000000000003E-2</v>
      </c>
      <c r="AO4" s="44">
        <v>755.77080000000001</v>
      </c>
      <c r="AP4" s="44">
        <v>23248753.77</v>
      </c>
      <c r="AQ4" s="44">
        <v>19702957</v>
      </c>
      <c r="AR4" s="44">
        <v>922227</v>
      </c>
      <c r="AS4" s="44">
        <v>27275254</v>
      </c>
      <c r="AT4" s="44">
        <v>7081</v>
      </c>
      <c r="AU4" s="44">
        <v>3411</v>
      </c>
      <c r="AV4" s="44">
        <v>11513970</v>
      </c>
      <c r="AW4" s="44">
        <v>229161278</v>
      </c>
      <c r="AX4" t="s">
        <v>367</v>
      </c>
      <c r="AY4">
        <v>2000</v>
      </c>
      <c r="AZ4">
        <v>1</v>
      </c>
      <c r="BA4" s="44">
        <v>43.812322881829559</v>
      </c>
      <c r="BB4" s="44">
        <v>363.5</v>
      </c>
      <c r="BC4" s="44">
        <v>173.5</v>
      </c>
      <c r="BD4" s="44">
        <v>687</v>
      </c>
      <c r="BE4" s="44">
        <v>11778637</v>
      </c>
      <c r="BF4" s="44">
        <v>11566621</v>
      </c>
      <c r="BG4" s="44">
        <v>1816302</v>
      </c>
      <c r="BH4" s="44">
        <v>22000</v>
      </c>
      <c r="BI4" s="44">
        <v>258531</v>
      </c>
      <c r="BJ4" s="44">
        <v>1500</v>
      </c>
      <c r="BK4" s="44">
        <v>8719</v>
      </c>
      <c r="BL4" s="44">
        <v>59.86</v>
      </c>
      <c r="BM4" s="44">
        <v>69.75</v>
      </c>
      <c r="BN4" s="44">
        <v>387</v>
      </c>
      <c r="BO4" s="44">
        <v>113</v>
      </c>
      <c r="BP4" t="s">
        <v>367</v>
      </c>
      <c r="BQ4">
        <v>2000</v>
      </c>
      <c r="BR4">
        <v>1</v>
      </c>
      <c r="BS4" s="44">
        <v>500</v>
      </c>
      <c r="BT4" s="44">
        <v>90.54</v>
      </c>
      <c r="BU4" s="44">
        <v>2554</v>
      </c>
      <c r="BV4" s="44">
        <v>23514.57</v>
      </c>
      <c r="BW4" s="47">
        <v>2016.98</v>
      </c>
      <c r="BX4" s="47">
        <v>105.65</v>
      </c>
      <c r="BY4" s="47">
        <v>580.33000000000004</v>
      </c>
      <c r="BZ4" s="47">
        <v>75.369999999999905</v>
      </c>
      <c r="CA4" s="47">
        <v>3779</v>
      </c>
      <c r="CB4" s="47">
        <v>66.849999999999994</v>
      </c>
      <c r="CC4" s="47">
        <v>15</v>
      </c>
      <c r="CD4" s="47">
        <v>81.849999999999994</v>
      </c>
      <c r="CE4" s="44">
        <v>67.56</v>
      </c>
    </row>
    <row r="5" spans="1:83" ht="15.5" x14ac:dyDescent="0.35">
      <c r="C5">
        <v>2</v>
      </c>
      <c r="D5" s="44">
        <v>377773</v>
      </c>
      <c r="E5" s="44">
        <v>1984.5</v>
      </c>
      <c r="F5" s="44">
        <v>2035.6244999999999</v>
      </c>
      <c r="G5" s="44">
        <v>2181.5</v>
      </c>
      <c r="H5" s="44">
        <v>1636.5</v>
      </c>
      <c r="I5" s="44">
        <v>2083</v>
      </c>
      <c r="J5" s="44">
        <v>66429</v>
      </c>
      <c r="K5" s="44">
        <v>1075</v>
      </c>
      <c r="L5" s="44">
        <v>1951.5</v>
      </c>
      <c r="M5" s="44">
        <v>33.465000000000003</v>
      </c>
      <c r="N5" s="44">
        <v>34.254999999999995</v>
      </c>
      <c r="O5" s="44">
        <v>626541</v>
      </c>
      <c r="P5" s="44">
        <v>2.6850000000000001</v>
      </c>
      <c r="S5">
        <v>2</v>
      </c>
      <c r="T5" s="44">
        <v>128</v>
      </c>
      <c r="U5" s="44">
        <v>135</v>
      </c>
      <c r="V5" s="44">
        <v>1507090.5</v>
      </c>
      <c r="W5" s="44">
        <v>72088.5</v>
      </c>
      <c r="X5" s="44">
        <v>1579179</v>
      </c>
      <c r="Y5" s="44">
        <v>355899</v>
      </c>
      <c r="Z5" s="44">
        <v>2214</v>
      </c>
      <c r="AA5" s="44">
        <v>47.185000000000002</v>
      </c>
      <c r="AB5" s="44">
        <v>30.740000000000002</v>
      </c>
      <c r="AC5" s="44">
        <v>22772992.850000001</v>
      </c>
      <c r="AD5" s="44">
        <v>23657893.329999998</v>
      </c>
      <c r="AE5" s="44">
        <v>0.11774999999999999</v>
      </c>
      <c r="AH5">
        <v>2</v>
      </c>
      <c r="AI5" s="44">
        <v>6442.5</v>
      </c>
      <c r="AJ5" s="44">
        <v>2.4499999999999999E-3</v>
      </c>
      <c r="AK5" s="44">
        <v>1630414</v>
      </c>
      <c r="AL5" s="44">
        <v>764503</v>
      </c>
      <c r="AM5" s="44">
        <v>1204452</v>
      </c>
      <c r="AN5" s="44">
        <v>5.6000000000000001E-2</v>
      </c>
      <c r="AO5" s="44">
        <v>758.58255000000008</v>
      </c>
      <c r="AP5" s="44">
        <v>23657893.329999998</v>
      </c>
      <c r="AQ5" s="44">
        <v>20124136</v>
      </c>
      <c r="AR5" s="44">
        <v>942443</v>
      </c>
      <c r="AS5" s="44">
        <v>27553573</v>
      </c>
      <c r="AT5" s="44">
        <v>7132</v>
      </c>
      <c r="AU5" s="44">
        <v>3422.5</v>
      </c>
      <c r="AV5" s="44">
        <v>11589999</v>
      </c>
      <c r="AW5" s="44">
        <v>229864509.5</v>
      </c>
      <c r="AZ5">
        <v>2</v>
      </c>
      <c r="BA5" s="44">
        <v>44.100853883584264</v>
      </c>
      <c r="BB5" s="44">
        <v>365.25</v>
      </c>
      <c r="BC5" s="44">
        <v>177.4</v>
      </c>
      <c r="BD5" s="44">
        <v>689.5</v>
      </c>
      <c r="BE5" s="44">
        <v>11967047</v>
      </c>
      <c r="BF5" s="44">
        <v>12335101.5</v>
      </c>
      <c r="BG5" s="44">
        <v>1843425</v>
      </c>
      <c r="BH5" s="44">
        <v>22750</v>
      </c>
      <c r="BI5" s="44">
        <v>261169</v>
      </c>
      <c r="BJ5" s="44">
        <v>1600</v>
      </c>
      <c r="BK5" s="44">
        <v>8738.5</v>
      </c>
      <c r="BL5" s="44">
        <v>59.81</v>
      </c>
      <c r="BM5" s="44">
        <v>69.64500000000001</v>
      </c>
      <c r="BN5" s="44">
        <v>389.5</v>
      </c>
      <c r="BO5" s="44">
        <v>111.5</v>
      </c>
      <c r="BR5">
        <v>2</v>
      </c>
      <c r="BS5" s="44">
        <v>501</v>
      </c>
      <c r="BT5" s="44">
        <v>90.44</v>
      </c>
      <c r="BU5" s="44">
        <v>2591</v>
      </c>
      <c r="BV5" s="44">
        <v>24030.025000000001</v>
      </c>
      <c r="BW5" s="44">
        <v>2047.1</v>
      </c>
      <c r="BX5" s="44">
        <v>102.65</v>
      </c>
      <c r="BY5" s="44">
        <v>600.17000000000007</v>
      </c>
      <c r="BZ5" s="44">
        <v>75.914999999999949</v>
      </c>
      <c r="CA5" s="44">
        <v>3791</v>
      </c>
      <c r="CB5" s="44">
        <v>66.97999999999999</v>
      </c>
      <c r="CC5" s="44">
        <v>15</v>
      </c>
      <c r="CD5" s="44">
        <v>81.97999999999999</v>
      </c>
      <c r="CE5" s="44">
        <v>67.72</v>
      </c>
    </row>
    <row r="6" spans="1:83" ht="15.5" x14ac:dyDescent="0.35">
      <c r="A6" t="s">
        <v>368</v>
      </c>
      <c r="B6">
        <v>2001</v>
      </c>
      <c r="C6">
        <v>1</v>
      </c>
      <c r="D6" s="44">
        <v>379748</v>
      </c>
      <c r="E6" s="44">
        <v>2079</v>
      </c>
      <c r="F6" s="44">
        <v>2122.6590000000001</v>
      </c>
      <c r="G6" s="44">
        <v>2290</v>
      </c>
      <c r="H6" s="44">
        <v>1867</v>
      </c>
      <c r="I6" s="44">
        <v>2182</v>
      </c>
      <c r="J6" s="44">
        <v>71047</v>
      </c>
      <c r="K6" s="44">
        <v>1100</v>
      </c>
      <c r="L6" s="44">
        <v>1654</v>
      </c>
      <c r="M6" s="44">
        <v>35.6</v>
      </c>
      <c r="N6" s="44">
        <v>35.89</v>
      </c>
      <c r="O6" s="44">
        <v>648593</v>
      </c>
      <c r="P6" s="44">
        <v>2.73</v>
      </c>
      <c r="Q6" t="s">
        <v>368</v>
      </c>
      <c r="R6">
        <v>2001</v>
      </c>
      <c r="S6">
        <v>1</v>
      </c>
      <c r="T6" s="44">
        <v>127</v>
      </c>
      <c r="U6" s="44">
        <v>130</v>
      </c>
      <c r="V6" s="44">
        <v>1569886</v>
      </c>
      <c r="W6" s="44">
        <v>105182</v>
      </c>
      <c r="X6" s="44">
        <v>1675068</v>
      </c>
      <c r="Y6" s="44">
        <v>367664</v>
      </c>
      <c r="Z6" s="44">
        <v>2240</v>
      </c>
      <c r="AA6" s="44">
        <v>47.53</v>
      </c>
      <c r="AB6" s="44">
        <v>30.84</v>
      </c>
      <c r="AC6" s="44">
        <v>23611190.100000001</v>
      </c>
      <c r="AD6" s="44">
        <v>24067032.890000001</v>
      </c>
      <c r="AE6" s="44">
        <v>0.1173</v>
      </c>
      <c r="AF6" t="s">
        <v>368</v>
      </c>
      <c r="AG6">
        <v>2001</v>
      </c>
      <c r="AH6">
        <v>1</v>
      </c>
      <c r="AI6" s="44">
        <v>6491</v>
      </c>
      <c r="AJ6" s="44">
        <v>2.5000000000000001E-3</v>
      </c>
      <c r="AK6" s="44">
        <v>1734483</v>
      </c>
      <c r="AL6" s="44">
        <v>770280</v>
      </c>
      <c r="AM6" s="44">
        <v>1237239</v>
      </c>
      <c r="AN6" s="44">
        <v>5.3999999999999999E-2</v>
      </c>
      <c r="AO6" s="44">
        <v>761.39430000000004</v>
      </c>
      <c r="AP6" s="44">
        <v>24067032.890000001</v>
      </c>
      <c r="AQ6" s="44">
        <v>20545315</v>
      </c>
      <c r="AR6" s="44">
        <v>962659</v>
      </c>
      <c r="AS6" s="44">
        <v>27831892</v>
      </c>
      <c r="AT6" s="44">
        <v>7183</v>
      </c>
      <c r="AU6" s="44">
        <v>3434</v>
      </c>
      <c r="AV6" s="44">
        <v>11643780</v>
      </c>
      <c r="AW6" s="44">
        <v>230567741</v>
      </c>
      <c r="AX6" t="s">
        <v>368</v>
      </c>
      <c r="AY6">
        <v>2001</v>
      </c>
      <c r="AZ6">
        <v>1</v>
      </c>
      <c r="BA6" s="44">
        <v>44.389384885338963</v>
      </c>
      <c r="BB6" s="44">
        <v>367</v>
      </c>
      <c r="BC6" s="44">
        <v>181.3</v>
      </c>
      <c r="BD6" s="44">
        <v>692</v>
      </c>
      <c r="BE6" s="44">
        <v>12155457</v>
      </c>
      <c r="BF6" s="44">
        <v>13103582</v>
      </c>
      <c r="BG6" s="44">
        <v>1870548</v>
      </c>
      <c r="BH6" s="44">
        <v>23500</v>
      </c>
      <c r="BI6" s="44">
        <v>263807</v>
      </c>
      <c r="BJ6" s="44">
        <v>1700</v>
      </c>
      <c r="BK6" s="44">
        <v>8758</v>
      </c>
      <c r="BL6" s="44">
        <v>59.76</v>
      </c>
      <c r="BM6" s="44">
        <v>69.540000000000006</v>
      </c>
      <c r="BN6" s="44">
        <v>392</v>
      </c>
      <c r="BO6" s="44">
        <v>110</v>
      </c>
      <c r="BP6" t="s">
        <v>368</v>
      </c>
      <c r="BQ6">
        <v>2001</v>
      </c>
      <c r="BR6">
        <v>1</v>
      </c>
      <c r="BS6" s="44">
        <v>502</v>
      </c>
      <c r="BT6" s="44">
        <v>90.34</v>
      </c>
      <c r="BU6" s="44">
        <v>2628</v>
      </c>
      <c r="BV6" s="44">
        <v>24545.48</v>
      </c>
      <c r="BW6" s="47">
        <v>2077.2199999999998</v>
      </c>
      <c r="BX6" s="47">
        <v>99.65</v>
      </c>
      <c r="BY6" s="47">
        <v>620.01</v>
      </c>
      <c r="BZ6" s="47">
        <v>76.459999999999994</v>
      </c>
      <c r="CA6" s="47">
        <v>3803</v>
      </c>
      <c r="CB6" s="47">
        <v>67.11</v>
      </c>
      <c r="CC6" s="47">
        <v>15</v>
      </c>
      <c r="CD6" s="47">
        <v>82.11</v>
      </c>
      <c r="CE6" s="44">
        <v>67.88</v>
      </c>
    </row>
    <row r="7" spans="1:83" ht="15.5" x14ac:dyDescent="0.35">
      <c r="C7">
        <v>2</v>
      </c>
      <c r="D7" s="44">
        <v>399448</v>
      </c>
      <c r="E7" s="44">
        <v>2146.5</v>
      </c>
      <c r="F7" s="44">
        <v>2248.0335</v>
      </c>
      <c r="G7" s="44">
        <v>2303</v>
      </c>
      <c r="H7" s="44">
        <v>1824</v>
      </c>
      <c r="I7" s="44">
        <v>2253</v>
      </c>
      <c r="J7" s="44">
        <v>78323</v>
      </c>
      <c r="K7" s="44">
        <v>1125</v>
      </c>
      <c r="L7" s="44">
        <v>2060.5</v>
      </c>
      <c r="M7" s="44">
        <v>37.19</v>
      </c>
      <c r="N7" s="44">
        <v>36.480000000000004</v>
      </c>
      <c r="O7" s="44">
        <v>674508.5</v>
      </c>
      <c r="P7" s="44">
        <v>2.8</v>
      </c>
      <c r="S7">
        <v>2</v>
      </c>
      <c r="T7" s="44">
        <v>128</v>
      </c>
      <c r="U7" s="44">
        <v>132</v>
      </c>
      <c r="V7" s="44">
        <v>1638142</v>
      </c>
      <c r="W7" s="44">
        <v>92691</v>
      </c>
      <c r="X7" s="44">
        <v>1730833</v>
      </c>
      <c r="Y7" s="44">
        <v>372184.5</v>
      </c>
      <c r="Z7" s="44">
        <v>2266.5</v>
      </c>
      <c r="AA7" s="44">
        <v>48.230000000000004</v>
      </c>
      <c r="AB7" s="44">
        <v>31.29</v>
      </c>
      <c r="AC7" s="44">
        <v>23852120.615000002</v>
      </c>
      <c r="AD7" s="44">
        <v>24312614.855</v>
      </c>
      <c r="AE7" s="44">
        <v>0.12179999999999999</v>
      </c>
      <c r="AH7">
        <v>2</v>
      </c>
      <c r="AI7" s="44">
        <v>6530.5</v>
      </c>
      <c r="AJ7" s="44">
        <v>2.5000000000000001E-3</v>
      </c>
      <c r="AK7" s="44">
        <v>1745016.5</v>
      </c>
      <c r="AL7" s="44">
        <v>778140</v>
      </c>
      <c r="AM7" s="44">
        <v>1271861</v>
      </c>
      <c r="AN7" s="44">
        <v>5.3499999999999999E-2</v>
      </c>
      <c r="AO7" s="44">
        <v>795.59265000000005</v>
      </c>
      <c r="AP7" s="44">
        <v>24312614.855</v>
      </c>
      <c r="AQ7" s="44">
        <v>21283008.5</v>
      </c>
      <c r="AR7" s="44">
        <v>968505</v>
      </c>
      <c r="AS7" s="44">
        <v>28058167.5</v>
      </c>
      <c r="AT7" s="44">
        <v>7184.5</v>
      </c>
      <c r="AU7" s="44">
        <v>3444.5</v>
      </c>
      <c r="AV7" s="44">
        <v>11710023</v>
      </c>
      <c r="AW7" s="44">
        <v>231275288.5</v>
      </c>
      <c r="AZ7">
        <v>2</v>
      </c>
      <c r="BA7" s="44">
        <v>44.681716194107658</v>
      </c>
      <c r="BB7" s="44">
        <v>348.5</v>
      </c>
      <c r="BC7" s="44">
        <v>185.57</v>
      </c>
      <c r="BD7" s="44">
        <v>654</v>
      </c>
      <c r="BE7" s="44">
        <v>12356373.5</v>
      </c>
      <c r="BF7" s="44">
        <v>12905779.5</v>
      </c>
      <c r="BG7" s="44">
        <v>1900469</v>
      </c>
      <c r="BH7" s="44">
        <v>24250</v>
      </c>
      <c r="BI7" s="44">
        <v>264403</v>
      </c>
      <c r="BJ7" s="44">
        <v>1750</v>
      </c>
      <c r="BK7" s="44">
        <v>8777</v>
      </c>
      <c r="BL7" s="44">
        <v>58.7</v>
      </c>
      <c r="BM7" s="44">
        <v>69.64500000000001</v>
      </c>
      <c r="BN7" s="44">
        <v>394.5</v>
      </c>
      <c r="BO7" s="44">
        <v>115.5</v>
      </c>
      <c r="BR7">
        <v>2</v>
      </c>
      <c r="BS7" s="44">
        <v>510</v>
      </c>
      <c r="BT7" s="44">
        <v>90.56</v>
      </c>
      <c r="BU7" s="44">
        <v>2678.5</v>
      </c>
      <c r="BV7" s="44">
        <v>24925.05</v>
      </c>
      <c r="BW7" s="44">
        <v>2112.66</v>
      </c>
      <c r="BX7" s="44">
        <v>100.65</v>
      </c>
      <c r="BY7" s="44">
        <v>641.20499999999993</v>
      </c>
      <c r="BZ7" s="44">
        <v>77.504999999999995</v>
      </c>
      <c r="CA7" s="44">
        <v>3815.5</v>
      </c>
      <c r="CB7" s="44">
        <v>66.984999999999999</v>
      </c>
      <c r="CC7" s="44">
        <v>15.5</v>
      </c>
      <c r="CD7" s="44">
        <v>82.484999999999999</v>
      </c>
      <c r="CE7" s="44">
        <v>68.039999999999992</v>
      </c>
    </row>
    <row r="8" spans="1:83" ht="15.5" x14ac:dyDescent="0.35">
      <c r="A8" t="s">
        <v>369</v>
      </c>
      <c r="B8">
        <v>2002</v>
      </c>
      <c r="C8">
        <v>1</v>
      </c>
      <c r="D8" s="44">
        <v>419148</v>
      </c>
      <c r="E8" s="44">
        <v>2214</v>
      </c>
      <c r="F8" s="44">
        <v>2373.4079999999999</v>
      </c>
      <c r="G8" s="44">
        <v>2316</v>
      </c>
      <c r="H8" s="44">
        <v>1781</v>
      </c>
      <c r="I8" s="44">
        <v>2324</v>
      </c>
      <c r="J8" s="44">
        <v>85599</v>
      </c>
      <c r="K8" s="44">
        <v>1150</v>
      </c>
      <c r="L8" s="44">
        <v>2467</v>
      </c>
      <c r="M8" s="44">
        <v>38.78</v>
      </c>
      <c r="N8" s="44">
        <v>37.07</v>
      </c>
      <c r="O8" s="44">
        <v>700424</v>
      </c>
      <c r="P8" s="44">
        <v>2.87</v>
      </c>
      <c r="Q8" t="s">
        <v>369</v>
      </c>
      <c r="R8">
        <v>2002</v>
      </c>
      <c r="S8">
        <v>1</v>
      </c>
      <c r="T8" s="44">
        <v>129</v>
      </c>
      <c r="U8" s="44">
        <v>134</v>
      </c>
      <c r="V8" s="44">
        <v>1706398</v>
      </c>
      <c r="W8" s="44">
        <v>80200</v>
      </c>
      <c r="X8" s="44">
        <v>1786598</v>
      </c>
      <c r="Y8" s="44">
        <v>376705</v>
      </c>
      <c r="Z8" s="44">
        <v>2293</v>
      </c>
      <c r="AA8" s="44">
        <v>48.93</v>
      </c>
      <c r="AB8" s="44">
        <v>31.74</v>
      </c>
      <c r="AC8" s="44">
        <v>24093051.129999999</v>
      </c>
      <c r="AD8" s="44">
        <v>24558196.82</v>
      </c>
      <c r="AE8" s="44">
        <v>0.1263</v>
      </c>
      <c r="AF8" t="s">
        <v>369</v>
      </c>
      <c r="AG8">
        <v>2002</v>
      </c>
      <c r="AH8">
        <v>1</v>
      </c>
      <c r="AI8" s="44">
        <v>6570</v>
      </c>
      <c r="AJ8" s="44">
        <v>2.5000000000000001E-3</v>
      </c>
      <c r="AK8" s="44">
        <v>1755550</v>
      </c>
      <c r="AL8" s="44">
        <v>786000</v>
      </c>
      <c r="AM8" s="44">
        <v>1306483</v>
      </c>
      <c r="AN8" s="44">
        <v>5.2999999999999999E-2</v>
      </c>
      <c r="AO8" s="44">
        <v>829.79099999999994</v>
      </c>
      <c r="AP8" s="44">
        <v>24558196.82</v>
      </c>
      <c r="AQ8" s="44">
        <v>22020702</v>
      </c>
      <c r="AR8" s="44">
        <v>974351</v>
      </c>
      <c r="AS8" s="44">
        <v>28284443</v>
      </c>
      <c r="AT8" s="44">
        <v>7186</v>
      </c>
      <c r="AU8" s="44">
        <v>3455</v>
      </c>
      <c r="AV8" s="44">
        <v>11775780</v>
      </c>
      <c r="AW8" s="44">
        <v>231982836</v>
      </c>
      <c r="AX8" t="s">
        <v>369</v>
      </c>
      <c r="AY8">
        <v>2002</v>
      </c>
      <c r="AZ8">
        <v>1</v>
      </c>
      <c r="BA8" s="44">
        <v>44.974047502876353</v>
      </c>
      <c r="BB8" s="44">
        <v>330</v>
      </c>
      <c r="BC8" s="44">
        <v>189.84</v>
      </c>
      <c r="BD8" s="44">
        <v>616</v>
      </c>
      <c r="BE8" s="44">
        <v>12557290</v>
      </c>
      <c r="BF8" s="44">
        <v>12707977</v>
      </c>
      <c r="BG8" s="44">
        <v>1930390</v>
      </c>
      <c r="BH8" s="44">
        <v>25000</v>
      </c>
      <c r="BI8" s="44">
        <v>264999</v>
      </c>
      <c r="BJ8" s="44">
        <v>1800</v>
      </c>
      <c r="BK8" s="44">
        <v>8796</v>
      </c>
      <c r="BL8" s="44">
        <v>57.64</v>
      </c>
      <c r="BM8" s="44">
        <v>69.75</v>
      </c>
      <c r="BN8" s="44">
        <v>397</v>
      </c>
      <c r="BO8" s="44">
        <v>121</v>
      </c>
      <c r="BP8" t="s">
        <v>369</v>
      </c>
      <c r="BQ8">
        <v>2002</v>
      </c>
      <c r="BR8">
        <v>1</v>
      </c>
      <c r="BS8" s="44">
        <v>518</v>
      </c>
      <c r="BT8" s="44">
        <v>90.78</v>
      </c>
      <c r="BU8" s="44">
        <v>2729</v>
      </c>
      <c r="BV8" s="44">
        <v>25304.62</v>
      </c>
      <c r="BW8" s="47">
        <v>2148.1</v>
      </c>
      <c r="BX8" s="47">
        <v>101.65</v>
      </c>
      <c r="BY8" s="47">
        <v>662.4</v>
      </c>
      <c r="BZ8" s="47">
        <v>78.55</v>
      </c>
      <c r="CA8" s="47">
        <v>3828</v>
      </c>
      <c r="CB8" s="47">
        <v>66.86</v>
      </c>
      <c r="CC8" s="47">
        <v>16</v>
      </c>
      <c r="CD8" s="47">
        <v>82.86</v>
      </c>
      <c r="CE8" s="44">
        <v>68.2</v>
      </c>
    </row>
    <row r="9" spans="1:83" ht="15.5" x14ac:dyDescent="0.35">
      <c r="C9">
        <v>2</v>
      </c>
      <c r="D9" s="44">
        <v>428793.5</v>
      </c>
      <c r="E9" s="44">
        <v>2366.5</v>
      </c>
      <c r="F9" s="44">
        <v>2481.4700000000003</v>
      </c>
      <c r="G9" s="44">
        <v>2506</v>
      </c>
      <c r="H9" s="44">
        <v>2011</v>
      </c>
      <c r="I9" s="44">
        <v>2484</v>
      </c>
      <c r="J9" s="44">
        <v>90354.5</v>
      </c>
      <c r="K9" s="44">
        <v>1175</v>
      </c>
      <c r="L9" s="44">
        <v>2243</v>
      </c>
      <c r="M9" s="44">
        <v>40.284999999999997</v>
      </c>
      <c r="N9" s="44">
        <v>39.575000000000003</v>
      </c>
      <c r="O9" s="44">
        <v>741074</v>
      </c>
      <c r="P9" s="44">
        <v>2.8050000000000002</v>
      </c>
      <c r="S9">
        <v>2</v>
      </c>
      <c r="T9" s="44">
        <v>127.5</v>
      </c>
      <c r="U9" s="44">
        <v>135.5</v>
      </c>
      <c r="V9" s="44">
        <v>1780589</v>
      </c>
      <c r="W9" s="44">
        <v>74413</v>
      </c>
      <c r="X9" s="44">
        <v>1855002</v>
      </c>
      <c r="Y9" s="44">
        <v>379379.5</v>
      </c>
      <c r="Z9" s="44">
        <v>2320</v>
      </c>
      <c r="AA9" s="44">
        <v>48.28</v>
      </c>
      <c r="AB9" s="44">
        <v>32.24</v>
      </c>
      <c r="AC9" s="44">
        <v>24376643.850000001</v>
      </c>
      <c r="AD9" s="44">
        <v>24860141.865000002</v>
      </c>
      <c r="AE9" s="44">
        <v>0.1232</v>
      </c>
      <c r="AH9">
        <v>2</v>
      </c>
      <c r="AI9" s="44">
        <v>6603.5</v>
      </c>
      <c r="AJ9" s="44">
        <v>2.5999999999999999E-3</v>
      </c>
      <c r="AK9" s="44">
        <v>1821619</v>
      </c>
      <c r="AL9" s="44">
        <v>795252</v>
      </c>
      <c r="AM9" s="44">
        <v>1343042.5</v>
      </c>
      <c r="AN9" s="44">
        <v>5.3999999999999999E-2</v>
      </c>
      <c r="AO9" s="44">
        <v>813.44734999999991</v>
      </c>
      <c r="AP9" s="44">
        <v>24860141.865000002</v>
      </c>
      <c r="AQ9" s="44">
        <v>22786127.5</v>
      </c>
      <c r="AR9" s="44">
        <v>977785</v>
      </c>
      <c r="AS9" s="44">
        <v>28441738</v>
      </c>
      <c r="AT9" s="44">
        <v>7238.5</v>
      </c>
      <c r="AU9" s="44">
        <v>3464.5</v>
      </c>
      <c r="AV9" s="44">
        <v>11867789</v>
      </c>
      <c r="AW9" s="44">
        <v>232694726.5</v>
      </c>
      <c r="AZ9">
        <v>2</v>
      </c>
      <c r="BA9" s="44">
        <v>45.270229173361358</v>
      </c>
      <c r="BB9" s="44">
        <v>340</v>
      </c>
      <c r="BC9" s="44">
        <v>192.67500000000001</v>
      </c>
      <c r="BD9" s="44">
        <v>635</v>
      </c>
      <c r="BE9" s="44">
        <v>12731517.5</v>
      </c>
      <c r="BF9" s="44">
        <v>12806861</v>
      </c>
      <c r="BG9" s="44">
        <v>1970606.5</v>
      </c>
      <c r="BH9" s="44">
        <v>26500</v>
      </c>
      <c r="BI9" s="44">
        <v>266068</v>
      </c>
      <c r="BJ9" s="44">
        <v>1900</v>
      </c>
      <c r="BK9" s="44">
        <v>8814</v>
      </c>
      <c r="BL9" s="44">
        <v>58.695</v>
      </c>
      <c r="BM9" s="44">
        <v>69.694999999999993</v>
      </c>
      <c r="BN9" s="44">
        <v>399.5</v>
      </c>
      <c r="BO9" s="44">
        <v>111.5</v>
      </c>
      <c r="BR9">
        <v>2</v>
      </c>
      <c r="BS9" s="44">
        <v>511</v>
      </c>
      <c r="BT9" s="44">
        <v>90.715000000000003</v>
      </c>
      <c r="BU9" s="44">
        <v>2774</v>
      </c>
      <c r="BV9" s="44">
        <v>25790.744999999999</v>
      </c>
      <c r="BW9" s="44">
        <v>2185.9049999999997</v>
      </c>
      <c r="BX9" s="44">
        <v>101.095</v>
      </c>
      <c r="BY9" s="44">
        <v>685.05</v>
      </c>
      <c r="BZ9" s="44">
        <v>78.444999999999993</v>
      </c>
      <c r="CA9" s="44">
        <v>3840</v>
      </c>
      <c r="CB9" s="44">
        <v>66.990000000000009</v>
      </c>
      <c r="CC9" s="44">
        <v>16</v>
      </c>
      <c r="CD9" s="44">
        <v>82.990000000000009</v>
      </c>
      <c r="CE9" s="44">
        <v>68.36</v>
      </c>
    </row>
    <row r="10" spans="1:83" ht="15.5" x14ac:dyDescent="0.35">
      <c r="A10" t="s">
        <v>372</v>
      </c>
      <c r="B10">
        <v>2003</v>
      </c>
      <c r="C10">
        <v>1</v>
      </c>
      <c r="D10" s="44">
        <v>438439</v>
      </c>
      <c r="E10" s="44">
        <v>2519</v>
      </c>
      <c r="F10" s="44">
        <v>2589.5320000000002</v>
      </c>
      <c r="G10" s="44">
        <v>2696</v>
      </c>
      <c r="H10" s="44">
        <v>2241</v>
      </c>
      <c r="I10" s="44">
        <v>2644</v>
      </c>
      <c r="J10" s="44">
        <v>95110</v>
      </c>
      <c r="K10" s="44">
        <v>1200</v>
      </c>
      <c r="L10" s="44">
        <v>2019</v>
      </c>
      <c r="M10" s="44">
        <v>41.79</v>
      </c>
      <c r="N10" s="44">
        <v>42.08</v>
      </c>
      <c r="O10" s="44">
        <v>781724</v>
      </c>
      <c r="P10" s="44">
        <v>2.74</v>
      </c>
      <c r="Q10" t="s">
        <v>372</v>
      </c>
      <c r="R10">
        <v>2003</v>
      </c>
      <c r="S10">
        <v>1</v>
      </c>
      <c r="T10" s="44">
        <v>126</v>
      </c>
      <c r="U10" s="44">
        <v>137</v>
      </c>
      <c r="V10" s="44">
        <v>1854780</v>
      </c>
      <c r="W10" s="44">
        <v>68626</v>
      </c>
      <c r="X10" s="44">
        <v>1923406</v>
      </c>
      <c r="Y10" s="44">
        <v>382054</v>
      </c>
      <c r="Z10" s="44">
        <v>2347</v>
      </c>
      <c r="AA10" s="44">
        <v>47.63</v>
      </c>
      <c r="AB10" s="44">
        <v>32.74</v>
      </c>
      <c r="AC10" s="44">
        <v>24660236.57</v>
      </c>
      <c r="AD10" s="44">
        <v>25162086.91</v>
      </c>
      <c r="AE10" s="44">
        <v>0.1201</v>
      </c>
      <c r="AF10" t="s">
        <v>372</v>
      </c>
      <c r="AG10">
        <v>2003</v>
      </c>
      <c r="AH10">
        <v>1</v>
      </c>
      <c r="AI10" s="44">
        <v>6637</v>
      </c>
      <c r="AJ10" s="44">
        <v>2.7000000000000001E-3</v>
      </c>
      <c r="AK10" s="44">
        <v>1887688</v>
      </c>
      <c r="AL10" s="44">
        <v>804504</v>
      </c>
      <c r="AM10" s="44">
        <v>1379602</v>
      </c>
      <c r="AN10" s="44">
        <v>5.5E-2</v>
      </c>
      <c r="AO10" s="44">
        <v>797.1037</v>
      </c>
      <c r="AP10" s="44">
        <v>25162086.91</v>
      </c>
      <c r="AQ10" s="44">
        <v>23551553</v>
      </c>
      <c r="AR10" s="44">
        <v>981219</v>
      </c>
      <c r="AS10" s="44">
        <v>28599033</v>
      </c>
      <c r="AT10" s="44">
        <v>7291</v>
      </c>
      <c r="AU10" s="44">
        <v>3474</v>
      </c>
      <c r="AV10" s="44">
        <v>11923460</v>
      </c>
      <c r="AW10" s="44">
        <v>233406617</v>
      </c>
      <c r="AX10" t="s">
        <v>372</v>
      </c>
      <c r="AY10">
        <v>2003</v>
      </c>
      <c r="AZ10">
        <v>1</v>
      </c>
      <c r="BA10" s="44">
        <v>45.566410843846356</v>
      </c>
      <c r="BB10" s="44">
        <v>350</v>
      </c>
      <c r="BC10" s="44">
        <v>195.51</v>
      </c>
      <c r="BD10" s="44">
        <v>654</v>
      </c>
      <c r="BE10" s="44">
        <v>12905745</v>
      </c>
      <c r="BF10" s="44">
        <v>12905745</v>
      </c>
      <c r="BG10" s="44">
        <v>2010823</v>
      </c>
      <c r="BH10" s="44">
        <v>28000</v>
      </c>
      <c r="BI10" s="44">
        <v>267137</v>
      </c>
      <c r="BJ10" s="44">
        <v>2000</v>
      </c>
      <c r="BK10" s="44">
        <v>8832</v>
      </c>
      <c r="BL10" s="44">
        <v>59.75</v>
      </c>
      <c r="BM10" s="44">
        <v>69.64</v>
      </c>
      <c r="BN10" s="44">
        <v>402</v>
      </c>
      <c r="BO10" s="44">
        <v>102</v>
      </c>
      <c r="BP10" t="s">
        <v>372</v>
      </c>
      <c r="BQ10">
        <v>2003</v>
      </c>
      <c r="BR10">
        <v>1</v>
      </c>
      <c r="BS10" s="44">
        <v>504</v>
      </c>
      <c r="BT10" s="44">
        <v>90.65</v>
      </c>
      <c r="BU10" s="44">
        <v>2819</v>
      </c>
      <c r="BV10" s="44">
        <v>26276.87</v>
      </c>
      <c r="BW10" s="47">
        <v>2223.71</v>
      </c>
      <c r="BX10" s="47">
        <v>100.54</v>
      </c>
      <c r="BY10" s="47">
        <v>707.7</v>
      </c>
      <c r="BZ10" s="47">
        <v>78.34</v>
      </c>
      <c r="CA10" s="47">
        <v>3852</v>
      </c>
      <c r="CB10" s="47">
        <v>67.12</v>
      </c>
      <c r="CC10" s="47">
        <v>16</v>
      </c>
      <c r="CD10" s="47">
        <v>83.12</v>
      </c>
      <c r="CE10" s="44">
        <v>68.52</v>
      </c>
    </row>
    <row r="11" spans="1:83" ht="15.5" x14ac:dyDescent="0.35">
      <c r="C11">
        <v>2</v>
      </c>
      <c r="D11" s="44">
        <v>455957.5</v>
      </c>
      <c r="E11" s="44">
        <v>2630</v>
      </c>
      <c r="F11" s="44">
        <v>2722.8270000000002</v>
      </c>
      <c r="G11" s="44">
        <v>2974</v>
      </c>
      <c r="H11" s="44">
        <v>2235</v>
      </c>
      <c r="I11" s="44">
        <v>2761</v>
      </c>
      <c r="J11" s="44">
        <v>101594.5</v>
      </c>
      <c r="K11" s="44">
        <v>1225</v>
      </c>
      <c r="L11" s="44">
        <v>1941.5</v>
      </c>
      <c r="M11" s="44">
        <v>44.64</v>
      </c>
      <c r="N11" s="44">
        <v>44.93</v>
      </c>
      <c r="O11" s="44">
        <v>822277</v>
      </c>
      <c r="P11" s="44">
        <v>2.8050000000000002</v>
      </c>
      <c r="S11">
        <v>2</v>
      </c>
      <c r="T11" s="44">
        <v>123</v>
      </c>
      <c r="U11" s="44">
        <v>130.5</v>
      </c>
      <c r="V11" s="44">
        <v>1864147.5</v>
      </c>
      <c r="W11" s="44">
        <v>87708</v>
      </c>
      <c r="X11" s="44">
        <v>1951855.5</v>
      </c>
      <c r="Y11" s="44">
        <v>386751.5</v>
      </c>
      <c r="Z11" s="44">
        <v>2362.5</v>
      </c>
      <c r="AA11" s="44">
        <v>47.234999999999999</v>
      </c>
      <c r="AB11" s="44">
        <v>31.580000000000002</v>
      </c>
      <c r="AC11" s="44">
        <v>24822639.34</v>
      </c>
      <c r="AD11" s="44">
        <v>25314893.105</v>
      </c>
      <c r="AE11" s="44">
        <v>0.12125</v>
      </c>
      <c r="AH11">
        <v>2</v>
      </c>
      <c r="AI11" s="44">
        <v>6660</v>
      </c>
      <c r="AJ11" s="44">
        <v>2.7499999999999998E-3</v>
      </c>
      <c r="AK11" s="44">
        <v>1981035</v>
      </c>
      <c r="AL11" s="44">
        <v>844287</v>
      </c>
      <c r="AM11" s="44">
        <v>1418207.5</v>
      </c>
      <c r="AN11" s="44">
        <v>5.3999999999999999E-2</v>
      </c>
      <c r="AO11" s="44">
        <v>807.55144999999993</v>
      </c>
      <c r="AP11" s="44">
        <v>25314893.105</v>
      </c>
      <c r="AQ11" s="44">
        <v>24250116</v>
      </c>
      <c r="AR11" s="44">
        <v>986175</v>
      </c>
      <c r="AS11" s="44">
        <v>28802068.5</v>
      </c>
      <c r="AT11" s="44">
        <v>7294</v>
      </c>
      <c r="AU11" s="44">
        <v>3484</v>
      </c>
      <c r="AV11" s="44">
        <v>12003099</v>
      </c>
      <c r="AW11" s="44">
        <v>234122876</v>
      </c>
      <c r="AZ11">
        <v>2</v>
      </c>
      <c r="BA11" s="44">
        <v>45.866493590031766</v>
      </c>
      <c r="BB11" s="44">
        <v>340.5</v>
      </c>
      <c r="BC11" s="44">
        <v>199.16499999999999</v>
      </c>
      <c r="BD11" s="44">
        <v>634</v>
      </c>
      <c r="BE11" s="44">
        <v>13084807</v>
      </c>
      <c r="BF11" s="44">
        <v>13880639</v>
      </c>
      <c r="BG11" s="44">
        <v>2048369.5</v>
      </c>
      <c r="BH11" s="44">
        <v>28500</v>
      </c>
      <c r="BI11" s="44">
        <v>267404.5</v>
      </c>
      <c r="BJ11" s="44">
        <v>2150</v>
      </c>
      <c r="BK11" s="44">
        <v>8849.5</v>
      </c>
      <c r="BL11" s="44">
        <v>59.25</v>
      </c>
      <c r="BM11" s="44">
        <v>69.81</v>
      </c>
      <c r="BN11" s="44">
        <v>412</v>
      </c>
      <c r="BO11" s="44">
        <v>103.5</v>
      </c>
      <c r="BR11">
        <v>2</v>
      </c>
      <c r="BS11" s="44">
        <v>515.5</v>
      </c>
      <c r="BT11" s="44">
        <v>90.67</v>
      </c>
      <c r="BU11" s="44">
        <v>2858</v>
      </c>
      <c r="BV11" s="44">
        <v>26572.415000000001</v>
      </c>
      <c r="BW11" s="44">
        <v>2256.915</v>
      </c>
      <c r="BX11" s="44">
        <v>99.550000000000011</v>
      </c>
      <c r="BY11" s="44">
        <v>731.89499999999998</v>
      </c>
      <c r="BZ11" s="44">
        <v>78.034999999999997</v>
      </c>
      <c r="CA11" s="44">
        <v>3864.5</v>
      </c>
      <c r="CB11" s="44">
        <v>66.995000000000005</v>
      </c>
      <c r="CC11" s="44">
        <v>16</v>
      </c>
      <c r="CD11" s="44">
        <v>82.995000000000005</v>
      </c>
      <c r="CE11" s="44">
        <v>68.680000000000007</v>
      </c>
    </row>
    <row r="12" spans="1:83" ht="15.5" x14ac:dyDescent="0.35">
      <c r="A12" t="s">
        <v>371</v>
      </c>
      <c r="B12">
        <v>2004</v>
      </c>
      <c r="C12">
        <v>1</v>
      </c>
      <c r="D12" s="44">
        <v>473476</v>
      </c>
      <c r="E12" s="44">
        <v>2741</v>
      </c>
      <c r="F12" s="44">
        <v>2856.1219999999998</v>
      </c>
      <c r="G12" s="44">
        <v>3252</v>
      </c>
      <c r="H12" s="44">
        <v>2229</v>
      </c>
      <c r="I12" s="44">
        <v>2878</v>
      </c>
      <c r="J12" s="44">
        <v>108079</v>
      </c>
      <c r="K12" s="44">
        <v>1250</v>
      </c>
      <c r="L12" s="44">
        <v>1864</v>
      </c>
      <c r="M12" s="44">
        <v>47.49</v>
      </c>
      <c r="N12" s="44">
        <v>47.78</v>
      </c>
      <c r="O12" s="44">
        <v>862830</v>
      </c>
      <c r="P12" s="44">
        <v>2.87</v>
      </c>
      <c r="Q12" t="s">
        <v>371</v>
      </c>
      <c r="R12">
        <v>2004</v>
      </c>
      <c r="S12">
        <v>1</v>
      </c>
      <c r="T12" s="44">
        <v>120</v>
      </c>
      <c r="U12" s="44">
        <v>124</v>
      </c>
      <c r="V12" s="44">
        <v>1873515</v>
      </c>
      <c r="W12" s="44">
        <v>106790</v>
      </c>
      <c r="X12" s="44">
        <v>1980305</v>
      </c>
      <c r="Y12" s="44">
        <v>391449</v>
      </c>
      <c r="Z12" s="44">
        <v>2378</v>
      </c>
      <c r="AA12" s="44">
        <v>46.84</v>
      </c>
      <c r="AB12" s="44">
        <v>30.42</v>
      </c>
      <c r="AC12" s="44">
        <v>24985042.109999999</v>
      </c>
      <c r="AD12" s="44">
        <v>25467699.300000001</v>
      </c>
      <c r="AE12" s="44">
        <v>0.12239999999999999</v>
      </c>
      <c r="AF12" t="s">
        <v>371</v>
      </c>
      <c r="AG12">
        <v>2004</v>
      </c>
      <c r="AH12">
        <v>1</v>
      </c>
      <c r="AI12" s="44">
        <v>6683</v>
      </c>
      <c r="AJ12" s="44">
        <v>2.8E-3</v>
      </c>
      <c r="AK12" s="44">
        <v>2074382</v>
      </c>
      <c r="AL12" s="44">
        <v>884070</v>
      </c>
      <c r="AM12" s="44">
        <v>1456813</v>
      </c>
      <c r="AN12" s="44">
        <v>5.2999999999999999E-2</v>
      </c>
      <c r="AO12" s="44">
        <v>817.99919999999997</v>
      </c>
      <c r="AP12" s="44">
        <v>25467699.300000001</v>
      </c>
      <c r="AQ12" s="44">
        <v>24948679</v>
      </c>
      <c r="AR12" s="44">
        <v>991131</v>
      </c>
      <c r="AS12" s="44">
        <v>29005104</v>
      </c>
      <c r="AT12" s="44">
        <v>7297</v>
      </c>
      <c r="AU12" s="44">
        <v>3494</v>
      </c>
      <c r="AV12" s="44">
        <v>12123360</v>
      </c>
      <c r="AW12" s="44">
        <v>234839135</v>
      </c>
      <c r="AX12" t="s">
        <v>371</v>
      </c>
      <c r="AY12">
        <v>2004</v>
      </c>
      <c r="AZ12">
        <v>1</v>
      </c>
      <c r="BA12" s="44">
        <v>46.166576336217176</v>
      </c>
      <c r="BB12" s="44">
        <v>331</v>
      </c>
      <c r="BC12" s="44">
        <v>202.82</v>
      </c>
      <c r="BD12" s="44">
        <v>614</v>
      </c>
      <c r="BE12" s="44">
        <v>13263869</v>
      </c>
      <c r="BF12" s="44">
        <v>14855533</v>
      </c>
      <c r="BG12" s="44">
        <v>2085916</v>
      </c>
      <c r="BH12" s="44">
        <v>29000</v>
      </c>
      <c r="BI12" s="44">
        <v>267672</v>
      </c>
      <c r="BJ12" s="44">
        <v>2300</v>
      </c>
      <c r="BK12" s="44">
        <v>8867</v>
      </c>
      <c r="BL12" s="44">
        <v>58.75</v>
      </c>
      <c r="BM12" s="44">
        <v>69.98</v>
      </c>
      <c r="BN12" s="44">
        <v>422</v>
      </c>
      <c r="BO12" s="44">
        <v>105</v>
      </c>
      <c r="BP12" t="s">
        <v>371</v>
      </c>
      <c r="BQ12">
        <v>2004</v>
      </c>
      <c r="BR12">
        <v>1</v>
      </c>
      <c r="BS12" s="44">
        <v>527</v>
      </c>
      <c r="BT12" s="44">
        <v>90.69</v>
      </c>
      <c r="BU12" s="44">
        <v>2897</v>
      </c>
      <c r="BV12" s="44">
        <v>26867.96</v>
      </c>
      <c r="BW12" s="47">
        <v>2290.12</v>
      </c>
      <c r="BX12" s="47">
        <v>98.56</v>
      </c>
      <c r="BY12" s="47">
        <v>756.09</v>
      </c>
      <c r="BZ12" s="47">
        <v>77.73</v>
      </c>
      <c r="CA12" s="47">
        <v>3877</v>
      </c>
      <c r="CB12" s="47">
        <v>66.87</v>
      </c>
      <c r="CC12" s="47">
        <v>16</v>
      </c>
      <c r="CD12" s="47">
        <v>82.87</v>
      </c>
      <c r="CE12" s="44">
        <v>68.84</v>
      </c>
    </row>
    <row r="13" spans="1:83" ht="15.5" x14ac:dyDescent="0.35">
      <c r="C13">
        <v>2</v>
      </c>
      <c r="D13" s="44">
        <v>486990</v>
      </c>
      <c r="E13" s="44">
        <v>2770.5</v>
      </c>
      <c r="F13" s="44">
        <v>2872.8609999999999</v>
      </c>
      <c r="G13" s="44">
        <v>3191</v>
      </c>
      <c r="H13" s="44">
        <v>2354.5</v>
      </c>
      <c r="I13" s="44">
        <v>2909</v>
      </c>
      <c r="J13" s="44">
        <v>112778.5</v>
      </c>
      <c r="K13" s="44">
        <v>1275</v>
      </c>
      <c r="L13" s="44">
        <v>2124</v>
      </c>
      <c r="M13" s="44">
        <v>48.534999999999997</v>
      </c>
      <c r="N13" s="44">
        <v>49.325000000000003</v>
      </c>
      <c r="O13" s="44">
        <v>878014.5</v>
      </c>
      <c r="P13" s="44">
        <v>2.9050000000000002</v>
      </c>
      <c r="S13">
        <v>2</v>
      </c>
      <c r="T13" s="44">
        <v>123.5</v>
      </c>
      <c r="U13" s="44">
        <v>130.5</v>
      </c>
      <c r="V13" s="44">
        <v>1892633</v>
      </c>
      <c r="W13" s="44">
        <v>98420</v>
      </c>
      <c r="X13" s="44">
        <v>1991053</v>
      </c>
      <c r="Y13" s="44">
        <v>398338</v>
      </c>
      <c r="Z13" s="44">
        <v>2431.5</v>
      </c>
      <c r="AA13" s="44">
        <v>47.2</v>
      </c>
      <c r="AB13" s="44">
        <v>31.12</v>
      </c>
      <c r="AC13" s="44">
        <v>25684201.16</v>
      </c>
      <c r="AD13" s="44">
        <v>25648504.469999999</v>
      </c>
      <c r="AE13" s="44">
        <v>0.1171</v>
      </c>
      <c r="AH13">
        <v>2</v>
      </c>
      <c r="AI13" s="44">
        <v>6727.5</v>
      </c>
      <c r="AJ13" s="44">
        <v>2.8500000000000001E-3</v>
      </c>
      <c r="AK13" s="44">
        <v>2229364.5</v>
      </c>
      <c r="AL13" s="44">
        <v>890801.5</v>
      </c>
      <c r="AM13" s="44">
        <v>1497579</v>
      </c>
      <c r="AN13" s="44">
        <v>5.5E-2</v>
      </c>
      <c r="AO13" s="44">
        <v>787.55439999999999</v>
      </c>
      <c r="AP13" s="44">
        <v>25648504.469999999</v>
      </c>
      <c r="AQ13" s="44">
        <v>25716738</v>
      </c>
      <c r="AR13" s="44">
        <v>995127.5</v>
      </c>
      <c r="AS13" s="44">
        <v>29151594.5</v>
      </c>
      <c r="AT13" s="44">
        <v>7301.5</v>
      </c>
      <c r="AU13" s="44">
        <v>3504.5</v>
      </c>
      <c r="AV13" s="44">
        <v>12213360</v>
      </c>
      <c r="AW13" s="44">
        <v>235559790.5</v>
      </c>
      <c r="AZ13">
        <v>2</v>
      </c>
      <c r="BA13" s="44">
        <v>46.470611540052445</v>
      </c>
      <c r="BB13" s="44">
        <v>311.5</v>
      </c>
      <c r="BC13" s="44">
        <v>206.06</v>
      </c>
      <c r="BD13" s="44">
        <v>574</v>
      </c>
      <c r="BE13" s="44">
        <v>13426949.5</v>
      </c>
      <c r="BF13" s="44">
        <v>13353019.5</v>
      </c>
      <c r="BG13" s="44">
        <v>2124864.5</v>
      </c>
      <c r="BH13" s="44">
        <v>30750</v>
      </c>
      <c r="BI13" s="44">
        <v>268887.5</v>
      </c>
      <c r="BJ13" s="44">
        <v>2400</v>
      </c>
      <c r="BK13" s="44">
        <v>8884.5</v>
      </c>
      <c r="BL13" s="44">
        <v>59.489999999999995</v>
      </c>
      <c r="BM13" s="44">
        <v>69.81</v>
      </c>
      <c r="BN13" s="44">
        <v>424.5</v>
      </c>
      <c r="BO13" s="44">
        <v>113</v>
      </c>
      <c r="BR13">
        <v>2</v>
      </c>
      <c r="BS13" s="44">
        <v>537.5</v>
      </c>
      <c r="BT13" s="44">
        <v>90.85</v>
      </c>
      <c r="BU13" s="44">
        <v>2960.5</v>
      </c>
      <c r="BV13" s="44">
        <v>27198.305</v>
      </c>
      <c r="BW13" s="44">
        <v>2323.105</v>
      </c>
      <c r="BX13" s="44">
        <v>98.14</v>
      </c>
      <c r="BY13" s="44">
        <v>781.94</v>
      </c>
      <c r="BZ13" s="44">
        <v>78.275000000000006</v>
      </c>
      <c r="CA13" s="44">
        <v>3889.5</v>
      </c>
      <c r="CB13" s="44">
        <v>67</v>
      </c>
      <c r="CC13" s="44">
        <v>16</v>
      </c>
      <c r="CD13" s="44">
        <v>83</v>
      </c>
      <c r="CE13" s="44">
        <v>69</v>
      </c>
    </row>
    <row r="14" spans="1:83" ht="15.5" x14ac:dyDescent="0.35">
      <c r="A14" t="s">
        <v>370</v>
      </c>
      <c r="B14">
        <v>2005</v>
      </c>
      <c r="C14">
        <v>1</v>
      </c>
      <c r="D14" s="44">
        <v>500504</v>
      </c>
      <c r="E14" s="44">
        <v>2800</v>
      </c>
      <c r="F14" s="44">
        <v>2889.6</v>
      </c>
      <c r="G14" s="44">
        <v>3130</v>
      </c>
      <c r="H14" s="44">
        <v>2480</v>
      </c>
      <c r="I14" s="44">
        <v>2940</v>
      </c>
      <c r="J14" s="44">
        <v>117478</v>
      </c>
      <c r="K14" s="44">
        <v>1300</v>
      </c>
      <c r="L14" s="44">
        <v>2384</v>
      </c>
      <c r="M14" s="44">
        <v>49.58</v>
      </c>
      <c r="N14" s="44">
        <v>50.87</v>
      </c>
      <c r="O14" s="44">
        <v>893199</v>
      </c>
      <c r="P14" s="44">
        <v>2.94</v>
      </c>
      <c r="Q14" t="s">
        <v>370</v>
      </c>
      <c r="R14">
        <v>2005</v>
      </c>
      <c r="S14">
        <v>1</v>
      </c>
      <c r="T14" s="44">
        <v>127</v>
      </c>
      <c r="U14" s="44">
        <v>137</v>
      </c>
      <c r="V14" s="44">
        <v>1911751</v>
      </c>
      <c r="W14" s="44">
        <v>90050</v>
      </c>
      <c r="X14" s="44">
        <v>2001801</v>
      </c>
      <c r="Y14" s="44">
        <v>405227</v>
      </c>
      <c r="Z14" s="44">
        <v>2485</v>
      </c>
      <c r="AA14" s="44">
        <v>47.56</v>
      </c>
      <c r="AB14" s="44">
        <v>31.82</v>
      </c>
      <c r="AC14" s="44">
        <v>26383360.210000001</v>
      </c>
      <c r="AD14" s="44">
        <v>25829309.640000001</v>
      </c>
      <c r="AE14" s="44">
        <v>0.1118</v>
      </c>
      <c r="AF14" t="s">
        <v>370</v>
      </c>
      <c r="AG14">
        <v>2005</v>
      </c>
      <c r="AH14">
        <v>1</v>
      </c>
      <c r="AI14" s="44">
        <v>6772</v>
      </c>
      <c r="AJ14" s="44">
        <v>2.8999999999999998E-3</v>
      </c>
      <c r="AK14" s="44">
        <v>2384347</v>
      </c>
      <c r="AL14" s="44">
        <v>897533</v>
      </c>
      <c r="AM14" s="44">
        <v>1538345</v>
      </c>
      <c r="AN14" s="44">
        <v>5.7000000000000002E-2</v>
      </c>
      <c r="AO14" s="44">
        <v>757.1096</v>
      </c>
      <c r="AP14" s="44">
        <v>25829309.640000001</v>
      </c>
      <c r="AQ14" s="44">
        <v>26484797</v>
      </c>
      <c r="AR14" s="44">
        <v>999124</v>
      </c>
      <c r="AS14" s="44">
        <v>29298085</v>
      </c>
      <c r="AT14" s="44">
        <v>7306</v>
      </c>
      <c r="AU14" s="44">
        <v>3515</v>
      </c>
      <c r="AV14" s="44">
        <v>12322099</v>
      </c>
      <c r="AW14" s="44">
        <v>236280446</v>
      </c>
      <c r="AX14" t="s">
        <v>370</v>
      </c>
      <c r="AY14">
        <v>2005</v>
      </c>
      <c r="AZ14">
        <v>1</v>
      </c>
      <c r="BA14" s="44">
        <v>46.774646743887715</v>
      </c>
      <c r="BB14" s="44">
        <v>292</v>
      </c>
      <c r="BC14" s="44">
        <v>209.3</v>
      </c>
      <c r="BD14" s="44">
        <v>534</v>
      </c>
      <c r="BE14" s="44">
        <v>13590030</v>
      </c>
      <c r="BF14" s="44">
        <v>11850506</v>
      </c>
      <c r="BG14" s="44">
        <v>2163813</v>
      </c>
      <c r="BH14" s="44">
        <v>32500</v>
      </c>
      <c r="BI14" s="44">
        <v>270103</v>
      </c>
      <c r="BJ14" s="44">
        <v>2500</v>
      </c>
      <c r="BK14" s="44">
        <v>8902</v>
      </c>
      <c r="BL14" s="44">
        <v>60.23</v>
      </c>
      <c r="BM14" s="44">
        <v>69.64</v>
      </c>
      <c r="BN14" s="44">
        <v>427</v>
      </c>
      <c r="BO14" s="44">
        <v>121</v>
      </c>
      <c r="BP14" t="s">
        <v>370</v>
      </c>
      <c r="BQ14">
        <v>2005</v>
      </c>
      <c r="BR14">
        <v>1</v>
      </c>
      <c r="BS14" s="44">
        <v>548</v>
      </c>
      <c r="BT14" s="44">
        <v>91.01</v>
      </c>
      <c r="BU14" s="44">
        <v>3024</v>
      </c>
      <c r="BV14" s="44">
        <v>27528.65</v>
      </c>
      <c r="BW14" s="47">
        <v>2356.09</v>
      </c>
      <c r="BX14" s="47">
        <v>97.72</v>
      </c>
      <c r="BY14" s="47">
        <v>807.79</v>
      </c>
      <c r="BZ14" s="47">
        <v>78.819999999999993</v>
      </c>
      <c r="CA14" s="47">
        <v>3902</v>
      </c>
      <c r="CB14" s="47">
        <v>67.13</v>
      </c>
      <c r="CC14" s="47">
        <v>16</v>
      </c>
      <c r="CD14" s="47">
        <v>83.13</v>
      </c>
      <c r="CE14" s="44">
        <v>69.16</v>
      </c>
    </row>
    <row r="15" spans="1:83" ht="15.5" x14ac:dyDescent="0.35">
      <c r="C15">
        <v>2</v>
      </c>
      <c r="D15" s="44">
        <v>511475.5</v>
      </c>
      <c r="E15" s="44">
        <v>2830</v>
      </c>
      <c r="F15" s="44">
        <v>2916.27</v>
      </c>
      <c r="G15" s="44">
        <v>3209.5</v>
      </c>
      <c r="H15" s="44">
        <v>2405.5</v>
      </c>
      <c r="I15" s="44">
        <v>2971.5</v>
      </c>
      <c r="J15" s="44">
        <v>127844</v>
      </c>
      <c r="K15" s="44">
        <v>1325</v>
      </c>
      <c r="L15" s="44">
        <v>2232</v>
      </c>
      <c r="M15" s="44">
        <v>49.265000000000001</v>
      </c>
      <c r="N15" s="44">
        <v>50.555</v>
      </c>
      <c r="O15" s="44">
        <v>954099</v>
      </c>
      <c r="P15" s="44">
        <v>3.0049999999999999</v>
      </c>
      <c r="S15">
        <v>2</v>
      </c>
      <c r="T15" s="44">
        <v>126.5</v>
      </c>
      <c r="U15" s="44">
        <v>133</v>
      </c>
      <c r="V15" s="44">
        <v>1994870.5</v>
      </c>
      <c r="W15" s="44">
        <v>96778</v>
      </c>
      <c r="X15" s="44">
        <v>2091648.5</v>
      </c>
      <c r="Y15" s="44">
        <v>418160</v>
      </c>
      <c r="Z15" s="44">
        <v>2500.5</v>
      </c>
      <c r="AA15" s="44">
        <v>47.715000000000003</v>
      </c>
      <c r="AB15" s="44">
        <v>32.120000000000005</v>
      </c>
      <c r="AC15" s="44">
        <v>26486274.030000001</v>
      </c>
      <c r="AD15" s="44">
        <v>25956651.460000001</v>
      </c>
      <c r="AE15" s="44">
        <v>0.11149999999999999</v>
      </c>
      <c r="AH15">
        <v>2</v>
      </c>
      <c r="AI15" s="44">
        <v>6822.5</v>
      </c>
      <c r="AJ15" s="44">
        <v>2.9499999999999999E-3</v>
      </c>
      <c r="AK15" s="44">
        <v>2408677.5</v>
      </c>
      <c r="AL15" s="44">
        <v>911412.5</v>
      </c>
      <c r="AM15" s="44">
        <v>1581392.5</v>
      </c>
      <c r="AN15" s="44">
        <v>5.6500000000000002E-2</v>
      </c>
      <c r="AO15" s="44">
        <v>760.69360000000006</v>
      </c>
      <c r="AP15" s="44">
        <v>25956651.460000001</v>
      </c>
      <c r="AQ15" s="44">
        <v>27285239</v>
      </c>
      <c r="AR15" s="44">
        <v>1001634</v>
      </c>
      <c r="AS15" s="44">
        <v>29536281</v>
      </c>
      <c r="AT15" s="44">
        <v>7360.5</v>
      </c>
      <c r="AU15" s="44">
        <v>3526.5</v>
      </c>
      <c r="AV15" s="44">
        <v>12326678</v>
      </c>
      <c r="AW15" s="44">
        <v>237005524.5</v>
      </c>
      <c r="AZ15">
        <v>2</v>
      </c>
      <c r="BA15" s="44">
        <v>47.082686464085555</v>
      </c>
      <c r="BB15" s="44">
        <v>294.5</v>
      </c>
      <c r="BC15" s="44">
        <v>212.43</v>
      </c>
      <c r="BD15" s="44">
        <v>538</v>
      </c>
      <c r="BE15" s="44">
        <v>13792971</v>
      </c>
      <c r="BF15" s="44">
        <v>12167429.5</v>
      </c>
      <c r="BG15" s="44">
        <v>2207719.5</v>
      </c>
      <c r="BH15" s="44">
        <v>33000</v>
      </c>
      <c r="BI15" s="44">
        <v>272020.5</v>
      </c>
      <c r="BJ15" s="44">
        <v>2700</v>
      </c>
      <c r="BK15" s="44">
        <v>8919</v>
      </c>
      <c r="BL15" s="44">
        <v>61.489999999999995</v>
      </c>
      <c r="BM15" s="44">
        <v>69.819999999999993</v>
      </c>
      <c r="BN15" s="44">
        <v>422</v>
      </c>
      <c r="BO15" s="44">
        <v>106.5</v>
      </c>
      <c r="BR15">
        <v>2</v>
      </c>
      <c r="BS15" s="44">
        <v>528.5</v>
      </c>
      <c r="BT15" s="44">
        <v>91.22</v>
      </c>
      <c r="BU15" s="44">
        <v>3085.5</v>
      </c>
      <c r="BV15" s="44">
        <v>28072.355000000003</v>
      </c>
      <c r="BW15" s="44">
        <v>2396.2950000000001</v>
      </c>
      <c r="BX15" s="44">
        <v>100.35</v>
      </c>
      <c r="BY15" s="44">
        <v>783.495</v>
      </c>
      <c r="BZ15" s="44">
        <v>78.864999999999995</v>
      </c>
      <c r="CA15" s="44">
        <v>3914.5</v>
      </c>
      <c r="CB15" s="44">
        <v>67.004999999999995</v>
      </c>
      <c r="CC15" s="44">
        <v>16</v>
      </c>
      <c r="CD15" s="44">
        <v>83.004999999999995</v>
      </c>
      <c r="CE15" s="44">
        <v>69.319999999999993</v>
      </c>
    </row>
    <row r="16" spans="1:83" ht="15.5" x14ac:dyDescent="0.35">
      <c r="A16" t="s">
        <v>375</v>
      </c>
      <c r="B16">
        <v>2006</v>
      </c>
      <c r="C16">
        <v>1</v>
      </c>
      <c r="D16" s="44">
        <v>522447</v>
      </c>
      <c r="E16" s="44">
        <v>2860</v>
      </c>
      <c r="F16" s="44">
        <v>2942.94</v>
      </c>
      <c r="G16" s="44">
        <v>3289</v>
      </c>
      <c r="H16" s="44">
        <v>2331</v>
      </c>
      <c r="I16" s="44">
        <v>3003</v>
      </c>
      <c r="J16" s="44">
        <v>138210</v>
      </c>
      <c r="K16" s="44">
        <v>1350</v>
      </c>
      <c r="L16" s="44">
        <v>2080</v>
      </c>
      <c r="M16" s="44">
        <v>48.95</v>
      </c>
      <c r="N16" s="44">
        <v>50.24</v>
      </c>
      <c r="O16" s="44">
        <v>1014999</v>
      </c>
      <c r="P16" s="44">
        <v>3.07</v>
      </c>
      <c r="Q16" t="s">
        <v>375</v>
      </c>
      <c r="R16">
        <v>2006</v>
      </c>
      <c r="S16">
        <v>1</v>
      </c>
      <c r="T16" s="44">
        <v>126</v>
      </c>
      <c r="U16" s="44">
        <v>129</v>
      </c>
      <c r="V16" s="44">
        <v>2077990</v>
      </c>
      <c r="W16" s="44">
        <v>103506</v>
      </c>
      <c r="X16" s="44">
        <v>2181496</v>
      </c>
      <c r="Y16" s="44">
        <v>431093</v>
      </c>
      <c r="Z16" s="44">
        <v>2516</v>
      </c>
      <c r="AA16" s="44">
        <v>47.87</v>
      </c>
      <c r="AB16" s="44">
        <v>32.42</v>
      </c>
      <c r="AC16" s="44">
        <v>26589187.850000001</v>
      </c>
      <c r="AD16" s="44">
        <v>26083993.280000001</v>
      </c>
      <c r="AE16" s="44">
        <v>0.11119999999999999</v>
      </c>
      <c r="AF16" t="s">
        <v>375</v>
      </c>
      <c r="AG16">
        <v>2006</v>
      </c>
      <c r="AH16">
        <v>1</v>
      </c>
      <c r="AI16" s="44">
        <v>6873</v>
      </c>
      <c r="AJ16" s="44">
        <v>3.0000000000000001E-3</v>
      </c>
      <c r="AK16" s="44">
        <v>2433008</v>
      </c>
      <c r="AL16" s="44">
        <v>925292</v>
      </c>
      <c r="AM16" s="44">
        <v>1624440</v>
      </c>
      <c r="AN16" s="44">
        <v>5.6000000000000001E-2</v>
      </c>
      <c r="AO16" s="44">
        <v>764.27760000000001</v>
      </c>
      <c r="AP16" s="44">
        <v>26083993.280000001</v>
      </c>
      <c r="AQ16" s="44">
        <v>28085681</v>
      </c>
      <c r="AR16" s="44">
        <v>1004144</v>
      </c>
      <c r="AS16" s="44">
        <v>29774477</v>
      </c>
      <c r="AT16" s="44">
        <v>7415</v>
      </c>
      <c r="AU16" s="44">
        <v>3538</v>
      </c>
      <c r="AV16" s="44">
        <v>12455694</v>
      </c>
      <c r="AW16" s="44">
        <v>237730603</v>
      </c>
      <c r="AX16" t="s">
        <v>375</v>
      </c>
      <c r="AY16">
        <v>2006</v>
      </c>
      <c r="AZ16">
        <v>1</v>
      </c>
      <c r="BA16" s="44">
        <v>47.390726184283402</v>
      </c>
      <c r="BB16" s="44">
        <v>297</v>
      </c>
      <c r="BC16" s="44">
        <v>215.56</v>
      </c>
      <c r="BD16" s="44">
        <v>542</v>
      </c>
      <c r="BE16" s="44">
        <v>13995912</v>
      </c>
      <c r="BF16" s="44">
        <v>12484353</v>
      </c>
      <c r="BG16" s="44">
        <v>2251626</v>
      </c>
      <c r="BH16" s="44">
        <v>33500</v>
      </c>
      <c r="BI16" s="44">
        <v>273938</v>
      </c>
      <c r="BJ16" s="44">
        <v>2900</v>
      </c>
      <c r="BK16" s="44">
        <v>8936</v>
      </c>
      <c r="BL16" s="44">
        <v>62.75</v>
      </c>
      <c r="BM16" s="44">
        <v>70</v>
      </c>
      <c r="BN16" s="44">
        <v>417</v>
      </c>
      <c r="BO16" s="44">
        <v>92</v>
      </c>
      <c r="BP16" t="s">
        <v>375</v>
      </c>
      <c r="BQ16">
        <v>2006</v>
      </c>
      <c r="BR16">
        <v>1</v>
      </c>
      <c r="BS16" s="44">
        <v>509</v>
      </c>
      <c r="BT16" s="44">
        <v>91.43</v>
      </c>
      <c r="BU16" s="44">
        <v>3147</v>
      </c>
      <c r="BV16" s="44">
        <v>28616.06</v>
      </c>
      <c r="BW16" s="47">
        <v>2436.5</v>
      </c>
      <c r="BX16" s="47">
        <v>102.98</v>
      </c>
      <c r="BY16" s="47">
        <v>759.2</v>
      </c>
      <c r="BZ16" s="47">
        <v>78.91</v>
      </c>
      <c r="CA16" s="47">
        <v>3927</v>
      </c>
      <c r="CB16" s="47">
        <v>66.88</v>
      </c>
      <c r="CC16" s="47">
        <v>16</v>
      </c>
      <c r="CD16" s="47">
        <v>82.88</v>
      </c>
      <c r="CE16" s="44">
        <v>69.48</v>
      </c>
    </row>
    <row r="17" spans="1:83" ht="15.5" x14ac:dyDescent="0.35">
      <c r="C17">
        <v>2</v>
      </c>
      <c r="D17" s="44">
        <v>546714</v>
      </c>
      <c r="E17" s="44">
        <v>2993</v>
      </c>
      <c r="F17" s="44">
        <v>3076.6710000000003</v>
      </c>
      <c r="G17" s="44">
        <v>3441.5</v>
      </c>
      <c r="H17" s="44">
        <v>2344</v>
      </c>
      <c r="I17" s="44">
        <v>3142.5</v>
      </c>
      <c r="J17" s="44">
        <v>156579.5</v>
      </c>
      <c r="K17" s="44">
        <v>1375</v>
      </c>
      <c r="L17" s="44">
        <v>1947.5</v>
      </c>
      <c r="M17" s="44">
        <v>49.234999999999999</v>
      </c>
      <c r="N17" s="44">
        <v>54.525000000000006</v>
      </c>
      <c r="O17" s="44">
        <v>1028546.5</v>
      </c>
      <c r="P17" s="44">
        <v>3.16</v>
      </c>
      <c r="S17">
        <v>2</v>
      </c>
      <c r="T17" s="44">
        <v>123</v>
      </c>
      <c r="U17" s="44">
        <v>128.5</v>
      </c>
      <c r="V17" s="44">
        <v>2110124</v>
      </c>
      <c r="W17" s="44">
        <v>113363.5</v>
      </c>
      <c r="X17" s="44">
        <v>2223487.5</v>
      </c>
      <c r="Y17" s="44">
        <v>435492</v>
      </c>
      <c r="Z17" s="44">
        <v>2545</v>
      </c>
      <c r="AA17" s="44">
        <v>47.76</v>
      </c>
      <c r="AB17" s="44">
        <v>31.605</v>
      </c>
      <c r="AC17" s="44">
        <v>27328296.164999999</v>
      </c>
      <c r="AD17" s="44">
        <v>26668721.515000001</v>
      </c>
      <c r="AE17" s="44">
        <v>0.11219999999999999</v>
      </c>
      <c r="AH17">
        <v>2</v>
      </c>
      <c r="AI17" s="44">
        <v>6949.5</v>
      </c>
      <c r="AJ17" s="44">
        <v>3.0000000000000001E-3</v>
      </c>
      <c r="AK17" s="44">
        <v>2457834.5</v>
      </c>
      <c r="AL17" s="44">
        <v>940586</v>
      </c>
      <c r="AM17" s="44">
        <v>1669897</v>
      </c>
      <c r="AN17" s="44">
        <v>5.5E-2</v>
      </c>
      <c r="AO17" s="44">
        <v>779.81039999999996</v>
      </c>
      <c r="AP17" s="44">
        <v>26668721.515000001</v>
      </c>
      <c r="AQ17" s="44">
        <v>28934506</v>
      </c>
      <c r="AR17" s="44">
        <v>1007683.5</v>
      </c>
      <c r="AS17" s="44">
        <v>30016546</v>
      </c>
      <c r="AT17" s="44">
        <v>7471</v>
      </c>
      <c r="AU17" s="44">
        <v>3547.5</v>
      </c>
      <c r="AV17" s="44">
        <v>12543494</v>
      </c>
      <c r="AW17" s="44">
        <v>238460131.5</v>
      </c>
      <c r="AZ17">
        <v>2</v>
      </c>
      <c r="BA17" s="44">
        <v>47.702823165233596</v>
      </c>
      <c r="BB17" s="44">
        <v>287.25</v>
      </c>
      <c r="BC17" s="44">
        <v>217.87</v>
      </c>
      <c r="BD17" s="44">
        <v>521.5</v>
      </c>
      <c r="BE17" s="44">
        <v>14167992.5</v>
      </c>
      <c r="BF17" s="44">
        <v>14200917</v>
      </c>
      <c r="BG17" s="44">
        <v>2302211.5</v>
      </c>
      <c r="BH17" s="44">
        <v>34250</v>
      </c>
      <c r="BI17" s="44">
        <v>276306.5</v>
      </c>
      <c r="BJ17" s="44">
        <v>2950</v>
      </c>
      <c r="BK17" s="44">
        <v>8945.5</v>
      </c>
      <c r="BL17" s="44">
        <v>62.2</v>
      </c>
      <c r="BM17" s="44">
        <v>70.115000000000009</v>
      </c>
      <c r="BN17" s="44">
        <v>412</v>
      </c>
      <c r="BO17" s="44">
        <v>90</v>
      </c>
      <c r="BR17">
        <v>2</v>
      </c>
      <c r="BS17" s="44">
        <v>502</v>
      </c>
      <c r="BT17" s="44">
        <v>91.54</v>
      </c>
      <c r="BU17" s="44">
        <v>3196</v>
      </c>
      <c r="BV17" s="44">
        <v>29119.654999999999</v>
      </c>
      <c r="BW17" s="44">
        <v>2483.3050000000003</v>
      </c>
      <c r="BX17" s="44">
        <v>100.815</v>
      </c>
      <c r="BY17" s="44">
        <v>780.86500000000001</v>
      </c>
      <c r="BZ17" s="44">
        <v>78.954999999999998</v>
      </c>
      <c r="CA17" s="44">
        <v>3940</v>
      </c>
      <c r="CB17" s="44">
        <v>67.009999999999991</v>
      </c>
      <c r="CC17" s="44">
        <v>16</v>
      </c>
      <c r="CD17" s="44">
        <v>83.009999999999991</v>
      </c>
      <c r="CE17" s="44">
        <v>69.64</v>
      </c>
    </row>
    <row r="18" spans="1:83" ht="15.5" x14ac:dyDescent="0.35">
      <c r="A18" t="s">
        <v>374</v>
      </c>
      <c r="B18">
        <v>2007</v>
      </c>
      <c r="C18">
        <v>1</v>
      </c>
      <c r="D18" s="44">
        <v>570981</v>
      </c>
      <c r="E18" s="44">
        <v>3126</v>
      </c>
      <c r="F18" s="44">
        <v>3210.402</v>
      </c>
      <c r="G18" s="44">
        <v>3594</v>
      </c>
      <c r="H18" s="44">
        <v>2357</v>
      </c>
      <c r="I18" s="44">
        <v>3282</v>
      </c>
      <c r="J18" s="44">
        <v>174949</v>
      </c>
      <c r="K18" s="44">
        <v>1400</v>
      </c>
      <c r="L18" s="44">
        <v>1815</v>
      </c>
      <c r="M18" s="44">
        <v>49.52</v>
      </c>
      <c r="N18" s="44">
        <v>58.81</v>
      </c>
      <c r="O18" s="44">
        <v>1042094</v>
      </c>
      <c r="P18" s="44">
        <v>3.25</v>
      </c>
      <c r="Q18" t="s">
        <v>374</v>
      </c>
      <c r="R18">
        <v>2007</v>
      </c>
      <c r="S18">
        <v>1</v>
      </c>
      <c r="T18" s="44">
        <v>120</v>
      </c>
      <c r="U18" s="44">
        <v>128</v>
      </c>
      <c r="V18" s="44">
        <v>2142258</v>
      </c>
      <c r="W18" s="44">
        <v>123221</v>
      </c>
      <c r="X18" s="44">
        <v>2265479</v>
      </c>
      <c r="Y18" s="44">
        <v>439891</v>
      </c>
      <c r="Z18" s="44">
        <v>2574</v>
      </c>
      <c r="AA18" s="44">
        <v>47.65</v>
      </c>
      <c r="AB18" s="44">
        <v>30.79</v>
      </c>
      <c r="AC18" s="44">
        <v>28067404.48</v>
      </c>
      <c r="AD18" s="44">
        <v>27253449.75</v>
      </c>
      <c r="AE18" s="44">
        <v>0.1132</v>
      </c>
      <c r="AF18" t="s">
        <v>374</v>
      </c>
      <c r="AG18">
        <v>2007</v>
      </c>
      <c r="AH18">
        <v>1</v>
      </c>
      <c r="AI18" s="44">
        <v>7026</v>
      </c>
      <c r="AJ18" s="44">
        <v>3.0000000000000001E-3</v>
      </c>
      <c r="AK18" s="44">
        <v>2482661</v>
      </c>
      <c r="AL18" s="44">
        <v>955880</v>
      </c>
      <c r="AM18" s="44">
        <v>1715354</v>
      </c>
      <c r="AN18" s="44">
        <v>5.3999999999999999E-2</v>
      </c>
      <c r="AO18" s="44">
        <v>795.34319999999991</v>
      </c>
      <c r="AP18" s="44">
        <v>27253449.75</v>
      </c>
      <c r="AQ18" s="44">
        <v>29783331</v>
      </c>
      <c r="AR18" s="44">
        <v>1011223</v>
      </c>
      <c r="AS18" s="44">
        <v>30258615</v>
      </c>
      <c r="AT18" s="44">
        <v>7527</v>
      </c>
      <c r="AU18" s="44">
        <v>3557</v>
      </c>
      <c r="AV18" s="44">
        <v>12589663</v>
      </c>
      <c r="AW18" s="44">
        <v>239189660</v>
      </c>
      <c r="AX18" t="s">
        <v>374</v>
      </c>
      <c r="AY18">
        <v>2007</v>
      </c>
      <c r="AZ18">
        <v>1</v>
      </c>
      <c r="BA18" s="44">
        <v>48.01492014618379</v>
      </c>
      <c r="BB18" s="44">
        <v>277.5</v>
      </c>
      <c r="BC18" s="44">
        <v>220.18</v>
      </c>
      <c r="BD18" s="44">
        <v>501</v>
      </c>
      <c r="BE18" s="44">
        <v>14340073</v>
      </c>
      <c r="BF18" s="44">
        <v>15917481</v>
      </c>
      <c r="BG18" s="44">
        <v>2352797</v>
      </c>
      <c r="BH18" s="44">
        <v>35000</v>
      </c>
      <c r="BI18" s="44">
        <v>278675</v>
      </c>
      <c r="BJ18" s="44">
        <v>3000</v>
      </c>
      <c r="BK18" s="44">
        <v>8955</v>
      </c>
      <c r="BL18" s="44">
        <v>61.65</v>
      </c>
      <c r="BM18" s="44">
        <v>70.23</v>
      </c>
      <c r="BN18" s="44">
        <v>407</v>
      </c>
      <c r="BO18" s="44">
        <v>88</v>
      </c>
      <c r="BP18" t="s">
        <v>374</v>
      </c>
      <c r="BQ18">
        <v>2007</v>
      </c>
      <c r="BR18">
        <v>1</v>
      </c>
      <c r="BS18" s="44">
        <v>495</v>
      </c>
      <c r="BT18" s="44">
        <v>91.65</v>
      </c>
      <c r="BU18" s="44">
        <v>3245</v>
      </c>
      <c r="BV18" s="44">
        <v>29623.25</v>
      </c>
      <c r="BW18" s="47">
        <v>2530.11</v>
      </c>
      <c r="BX18" s="47">
        <v>98.65</v>
      </c>
      <c r="BY18" s="47">
        <v>802.53</v>
      </c>
      <c r="BZ18" s="47">
        <v>79</v>
      </c>
      <c r="CA18" s="47">
        <v>3953</v>
      </c>
      <c r="CB18" s="47">
        <v>67.14</v>
      </c>
      <c r="CC18" s="47">
        <v>16</v>
      </c>
      <c r="CD18" s="47">
        <v>83.14</v>
      </c>
      <c r="CE18" s="44">
        <v>69.8</v>
      </c>
    </row>
    <row r="19" spans="1:83" ht="15.5" x14ac:dyDescent="0.35">
      <c r="C19">
        <v>2</v>
      </c>
      <c r="D19" s="44">
        <v>593463</v>
      </c>
      <c r="E19" s="44">
        <v>3194.5</v>
      </c>
      <c r="F19" s="44">
        <v>3266.0680000000002</v>
      </c>
      <c r="G19" s="44">
        <v>3673</v>
      </c>
      <c r="H19" s="44">
        <v>2515</v>
      </c>
      <c r="I19" s="44">
        <v>3354</v>
      </c>
      <c r="J19" s="44">
        <v>186877.5</v>
      </c>
      <c r="K19" s="44">
        <v>1425</v>
      </c>
      <c r="L19" s="44">
        <v>2134</v>
      </c>
      <c r="M19" s="44">
        <v>50.14</v>
      </c>
      <c r="N19" s="44">
        <v>54.93</v>
      </c>
      <c r="O19" s="44">
        <v>1077721</v>
      </c>
      <c r="P19" s="44">
        <v>3.2850000000000001</v>
      </c>
      <c r="S19">
        <v>2</v>
      </c>
      <c r="T19" s="44">
        <v>123.5</v>
      </c>
      <c r="U19" s="44">
        <v>129</v>
      </c>
      <c r="V19" s="44">
        <v>2186888.5</v>
      </c>
      <c r="W19" s="44">
        <v>132427</v>
      </c>
      <c r="X19" s="44">
        <v>2319315.5</v>
      </c>
      <c r="Y19" s="44">
        <v>481785.5</v>
      </c>
      <c r="Z19" s="44">
        <v>2722.5</v>
      </c>
      <c r="AA19" s="44">
        <v>47.66</v>
      </c>
      <c r="AB19" s="44">
        <v>30.545000000000002</v>
      </c>
      <c r="AC19" s="44">
        <v>29314844.68</v>
      </c>
      <c r="AD19" s="44">
        <v>28311902.755000003</v>
      </c>
      <c r="AE19" s="44">
        <v>0.11265</v>
      </c>
      <c r="AH19">
        <v>2</v>
      </c>
      <c r="AI19" s="44">
        <v>7172</v>
      </c>
      <c r="AJ19" s="44">
        <v>3.0000000000000001E-3</v>
      </c>
      <c r="AK19" s="44">
        <v>2651933.5</v>
      </c>
      <c r="AL19" s="44">
        <v>968638.5</v>
      </c>
      <c r="AM19" s="44">
        <v>1763355</v>
      </c>
      <c r="AN19" s="44">
        <v>5.6499999999999995E-2</v>
      </c>
      <c r="AO19" s="44">
        <v>807.8454999999999</v>
      </c>
      <c r="AP19" s="44">
        <v>28311902.755000003</v>
      </c>
      <c r="AQ19" s="44">
        <v>30600173.5</v>
      </c>
      <c r="AR19" s="44">
        <v>1011729</v>
      </c>
      <c r="AS19" s="44">
        <v>30442371.5</v>
      </c>
      <c r="AT19" s="44">
        <v>7533.5</v>
      </c>
      <c r="AU19" s="44">
        <v>3567</v>
      </c>
      <c r="AV19" s="44">
        <v>12634371</v>
      </c>
      <c r="AW19" s="44">
        <v>239923666</v>
      </c>
      <c r="AZ19">
        <v>2</v>
      </c>
      <c r="BA19" s="44">
        <v>48.331127826984392</v>
      </c>
      <c r="BB19" s="44">
        <v>208.25</v>
      </c>
      <c r="BC19" s="44">
        <v>224.17500000000001</v>
      </c>
      <c r="BD19" s="44">
        <v>361.5</v>
      </c>
      <c r="BE19" s="44">
        <v>14486400.5</v>
      </c>
      <c r="BF19" s="44">
        <v>15428748</v>
      </c>
      <c r="BG19" s="44">
        <v>2396728.5</v>
      </c>
      <c r="BH19" s="44">
        <v>37000</v>
      </c>
      <c r="BI19" s="44">
        <v>279657.5</v>
      </c>
      <c r="BJ19" s="44">
        <v>3250</v>
      </c>
      <c r="BK19" s="44">
        <v>8968</v>
      </c>
      <c r="BL19" s="44">
        <v>61.314999999999998</v>
      </c>
      <c r="BM19" s="44">
        <v>70.385000000000005</v>
      </c>
      <c r="BN19" s="44">
        <v>409.5</v>
      </c>
      <c r="BO19" s="44">
        <v>88</v>
      </c>
      <c r="BR19">
        <v>2</v>
      </c>
      <c r="BS19" s="44">
        <v>497.5</v>
      </c>
      <c r="BT19" s="44">
        <v>91.797499999999999</v>
      </c>
      <c r="BU19" s="44">
        <v>3295</v>
      </c>
      <c r="BV19" s="44">
        <v>30176.379999999997</v>
      </c>
      <c r="BW19" s="44">
        <v>2574.6350000000002</v>
      </c>
      <c r="BX19" s="44">
        <v>100.88500000000001</v>
      </c>
      <c r="BY19" s="44">
        <v>785.62</v>
      </c>
      <c r="BZ19" s="44">
        <v>79.224999999999994</v>
      </c>
      <c r="CA19" s="44">
        <v>3965.5</v>
      </c>
      <c r="CB19" s="44">
        <v>67.015000000000001</v>
      </c>
      <c r="CC19" s="44">
        <v>16.5</v>
      </c>
      <c r="CD19" s="44">
        <v>83.515000000000001</v>
      </c>
      <c r="CE19" s="44">
        <v>69.959999999999951</v>
      </c>
    </row>
    <row r="20" spans="1:83" ht="15.5" x14ac:dyDescent="0.35">
      <c r="A20" t="s">
        <v>373</v>
      </c>
      <c r="B20">
        <v>2008</v>
      </c>
      <c r="C20">
        <v>1</v>
      </c>
      <c r="D20" s="44">
        <v>615945</v>
      </c>
      <c r="E20" s="44">
        <v>3263</v>
      </c>
      <c r="F20" s="44">
        <v>3321.7339999999999</v>
      </c>
      <c r="G20" s="44">
        <v>3752</v>
      </c>
      <c r="H20" s="44">
        <v>2673</v>
      </c>
      <c r="I20" s="44">
        <v>3426</v>
      </c>
      <c r="J20" s="44">
        <v>198806</v>
      </c>
      <c r="K20" s="44">
        <v>1450</v>
      </c>
      <c r="L20" s="44">
        <v>2453</v>
      </c>
      <c r="M20" s="44">
        <v>50.76</v>
      </c>
      <c r="N20" s="44">
        <v>51.05</v>
      </c>
      <c r="O20" s="44">
        <v>1113348</v>
      </c>
      <c r="P20" s="44">
        <v>3.32</v>
      </c>
      <c r="Q20" t="s">
        <v>373</v>
      </c>
      <c r="R20">
        <v>2008</v>
      </c>
      <c r="S20">
        <v>1</v>
      </c>
      <c r="T20" s="44">
        <v>127</v>
      </c>
      <c r="U20" s="44">
        <v>130</v>
      </c>
      <c r="V20" s="44">
        <v>2231519</v>
      </c>
      <c r="W20" s="44">
        <v>141633</v>
      </c>
      <c r="X20" s="44">
        <v>2373152</v>
      </c>
      <c r="Y20" s="44">
        <v>523680</v>
      </c>
      <c r="Z20" s="44">
        <v>2871</v>
      </c>
      <c r="AA20" s="44">
        <v>47.67</v>
      </c>
      <c r="AB20" s="44">
        <v>30.3</v>
      </c>
      <c r="AC20" s="44">
        <v>30562284.879999999</v>
      </c>
      <c r="AD20" s="44">
        <v>29370355.760000002</v>
      </c>
      <c r="AE20" s="44">
        <v>0.11210000000000001</v>
      </c>
      <c r="AF20" t="s">
        <v>373</v>
      </c>
      <c r="AG20">
        <v>2008</v>
      </c>
      <c r="AH20">
        <v>1</v>
      </c>
      <c r="AI20" s="44">
        <v>7318</v>
      </c>
      <c r="AJ20" s="44">
        <v>3.0000000000000001E-3</v>
      </c>
      <c r="AK20" s="44">
        <v>2821206</v>
      </c>
      <c r="AL20" s="44">
        <v>981397</v>
      </c>
      <c r="AM20" s="44">
        <v>1811356</v>
      </c>
      <c r="AN20" s="44">
        <v>5.8999999999999997E-2</v>
      </c>
      <c r="AO20" s="44">
        <v>820.34780000000001</v>
      </c>
      <c r="AP20" s="44">
        <v>29370355.760000002</v>
      </c>
      <c r="AQ20" s="44">
        <v>31417016</v>
      </c>
      <c r="AR20" s="44">
        <v>1012235</v>
      </c>
      <c r="AS20" s="44">
        <v>30626128</v>
      </c>
      <c r="AT20" s="44">
        <v>7540</v>
      </c>
      <c r="AU20" s="44">
        <v>3577</v>
      </c>
      <c r="AV20" s="44">
        <v>12723961</v>
      </c>
      <c r="AW20" s="44">
        <v>240657672</v>
      </c>
      <c r="AX20" t="s">
        <v>373</v>
      </c>
      <c r="AY20">
        <v>2008</v>
      </c>
      <c r="AZ20">
        <v>1</v>
      </c>
      <c r="BA20" s="44">
        <v>48.647335507784994</v>
      </c>
      <c r="BB20" s="44">
        <v>139</v>
      </c>
      <c r="BC20" s="44">
        <v>228.17</v>
      </c>
      <c r="BD20" s="44">
        <v>222</v>
      </c>
      <c r="BE20" s="44">
        <v>14632728</v>
      </c>
      <c r="BF20" s="44">
        <v>14940015</v>
      </c>
      <c r="BG20" s="44">
        <v>2440660</v>
      </c>
      <c r="BH20" s="44">
        <v>39000</v>
      </c>
      <c r="BI20" s="44">
        <v>280640</v>
      </c>
      <c r="BJ20" s="44">
        <v>3500</v>
      </c>
      <c r="BK20" s="44">
        <v>8981</v>
      </c>
      <c r="BL20" s="44">
        <v>60.98</v>
      </c>
      <c r="BM20" s="44">
        <v>70.540000000000006</v>
      </c>
      <c r="BN20" s="44">
        <v>412</v>
      </c>
      <c r="BO20" s="44">
        <v>88</v>
      </c>
      <c r="BP20" t="s">
        <v>373</v>
      </c>
      <c r="BQ20">
        <v>2008</v>
      </c>
      <c r="BR20">
        <v>1</v>
      </c>
      <c r="BS20" s="44">
        <v>500</v>
      </c>
      <c r="BT20" s="44">
        <v>91.944999999999993</v>
      </c>
      <c r="BU20" s="44">
        <v>3345</v>
      </c>
      <c r="BV20" s="44">
        <v>30729.51</v>
      </c>
      <c r="BW20" s="47">
        <v>2619.16</v>
      </c>
      <c r="BX20" s="47">
        <v>103.12</v>
      </c>
      <c r="BY20" s="47">
        <v>768.71</v>
      </c>
      <c r="BZ20" s="47">
        <v>79.45</v>
      </c>
      <c r="CA20" s="47">
        <v>3978</v>
      </c>
      <c r="CB20" s="47">
        <v>66.89</v>
      </c>
      <c r="CC20" s="47">
        <v>17</v>
      </c>
      <c r="CD20" s="47">
        <v>83.89</v>
      </c>
      <c r="CE20" s="44">
        <v>70.119999999999905</v>
      </c>
    </row>
    <row r="21" spans="1:83" ht="15.5" x14ac:dyDescent="0.35">
      <c r="C21">
        <v>2</v>
      </c>
      <c r="D21" s="44">
        <v>638061</v>
      </c>
      <c r="E21" s="44">
        <v>3380.5</v>
      </c>
      <c r="F21" s="44">
        <v>3460.5879999999997</v>
      </c>
      <c r="G21" s="44">
        <v>3887</v>
      </c>
      <c r="H21" s="44">
        <v>2773</v>
      </c>
      <c r="I21" s="44">
        <v>3549</v>
      </c>
      <c r="J21" s="44">
        <v>206288</v>
      </c>
      <c r="K21" s="44">
        <v>1475</v>
      </c>
      <c r="L21" s="44">
        <v>2383.5</v>
      </c>
      <c r="M21" s="44">
        <v>51.47</v>
      </c>
      <c r="N21" s="44">
        <v>51.76</v>
      </c>
      <c r="O21" s="44">
        <v>1130564.5</v>
      </c>
      <c r="P21" s="44">
        <v>3.57</v>
      </c>
      <c r="S21">
        <v>2</v>
      </c>
      <c r="T21" s="44">
        <v>129.5</v>
      </c>
      <c r="U21" s="44">
        <v>134</v>
      </c>
      <c r="V21" s="44">
        <v>2383668</v>
      </c>
      <c r="W21" s="44">
        <v>143823.5</v>
      </c>
      <c r="X21" s="44">
        <v>2527491.5</v>
      </c>
      <c r="Y21" s="44">
        <v>559385.5</v>
      </c>
      <c r="Z21" s="44">
        <v>3828</v>
      </c>
      <c r="AA21" s="44">
        <v>47.954999999999998</v>
      </c>
      <c r="AB21" s="44">
        <v>30.21</v>
      </c>
      <c r="AC21" s="44">
        <v>30874144.93</v>
      </c>
      <c r="AD21" s="44">
        <v>29638867.265000001</v>
      </c>
      <c r="AE21" s="44">
        <v>0.11230000000000001</v>
      </c>
      <c r="AH21">
        <v>2</v>
      </c>
      <c r="AI21" s="44">
        <v>7334.5</v>
      </c>
      <c r="AJ21" s="44">
        <v>3.0499999999999998E-3</v>
      </c>
      <c r="AK21" s="44">
        <v>2943867</v>
      </c>
      <c r="AL21" s="44">
        <v>1006138</v>
      </c>
      <c r="AM21" s="44">
        <v>1862043.5</v>
      </c>
      <c r="AN21" s="44">
        <v>5.7999999999999996E-2</v>
      </c>
      <c r="AO21" s="44">
        <v>823.66765000000009</v>
      </c>
      <c r="AP21" s="44">
        <v>29638867.265000001</v>
      </c>
      <c r="AQ21" s="44">
        <v>32296161.5</v>
      </c>
      <c r="AR21" s="44">
        <v>1013249.5</v>
      </c>
      <c r="AS21" s="44">
        <v>30890952</v>
      </c>
      <c r="AT21" s="44">
        <v>7597.5</v>
      </c>
      <c r="AU21" s="44">
        <v>3588</v>
      </c>
      <c r="AV21" s="44">
        <v>12942317</v>
      </c>
      <c r="AW21" s="44">
        <v>241396182.5</v>
      </c>
      <c r="AZ21">
        <v>2</v>
      </c>
      <c r="BA21" s="44">
        <v>48.96770803139249</v>
      </c>
      <c r="BB21" s="44">
        <v>160</v>
      </c>
      <c r="BC21" s="44">
        <v>231.095</v>
      </c>
      <c r="BD21" s="44">
        <v>263</v>
      </c>
      <c r="BE21" s="44">
        <v>14851239.5</v>
      </c>
      <c r="BF21" s="44">
        <v>15245999</v>
      </c>
      <c r="BG21" s="44">
        <v>2490184.5</v>
      </c>
      <c r="BH21" s="44">
        <v>39500</v>
      </c>
      <c r="BI21" s="44">
        <v>282057.5</v>
      </c>
      <c r="BJ21" s="44">
        <v>3650</v>
      </c>
      <c r="BK21" s="44">
        <v>8995.5</v>
      </c>
      <c r="BL21" s="44">
        <v>61.914999999999999</v>
      </c>
      <c r="BM21" s="44">
        <v>70.66</v>
      </c>
      <c r="BN21" s="44">
        <v>389.5</v>
      </c>
      <c r="BO21" s="44">
        <v>89</v>
      </c>
      <c r="BR21">
        <v>2</v>
      </c>
      <c r="BS21" s="44">
        <v>478.5</v>
      </c>
      <c r="BT21" s="44">
        <v>91.907499999999999</v>
      </c>
      <c r="BU21" s="44">
        <v>3396.5</v>
      </c>
      <c r="BV21" s="44">
        <v>31253.85</v>
      </c>
      <c r="BW21" s="44">
        <v>2658.2749999999996</v>
      </c>
      <c r="BX21" s="44">
        <v>101.587</v>
      </c>
      <c r="BY21" s="44">
        <v>745.59</v>
      </c>
      <c r="BZ21" s="44">
        <v>79.495000000000005</v>
      </c>
      <c r="CA21" s="44">
        <v>3991</v>
      </c>
      <c r="CB21" s="44">
        <v>67.02000000000001</v>
      </c>
      <c r="CC21" s="44">
        <v>17</v>
      </c>
      <c r="CD21" s="44">
        <v>84.02000000000001</v>
      </c>
      <c r="CE21" s="44">
        <v>70.279999999999902</v>
      </c>
    </row>
    <row r="22" spans="1:83" ht="15.5" x14ac:dyDescent="0.35">
      <c r="A22" t="s">
        <v>376</v>
      </c>
      <c r="B22">
        <v>2009</v>
      </c>
      <c r="C22">
        <v>1</v>
      </c>
      <c r="D22" s="44">
        <v>660177</v>
      </c>
      <c r="E22" s="44">
        <v>3498</v>
      </c>
      <c r="F22" s="44">
        <v>3599.442</v>
      </c>
      <c r="G22" s="44">
        <v>4022</v>
      </c>
      <c r="H22" s="44">
        <v>2873</v>
      </c>
      <c r="I22" s="44">
        <v>3672</v>
      </c>
      <c r="J22" s="44">
        <v>213770</v>
      </c>
      <c r="K22" s="44">
        <v>1500</v>
      </c>
      <c r="L22" s="44">
        <v>2314</v>
      </c>
      <c r="M22" s="44">
        <v>52.18</v>
      </c>
      <c r="N22" s="44">
        <v>52.47</v>
      </c>
      <c r="O22" s="44">
        <v>1147781</v>
      </c>
      <c r="P22" s="44">
        <v>3.82</v>
      </c>
      <c r="Q22" t="s">
        <v>376</v>
      </c>
      <c r="R22">
        <v>2009</v>
      </c>
      <c r="S22">
        <v>1</v>
      </c>
      <c r="T22" s="44">
        <v>132</v>
      </c>
      <c r="U22" s="44">
        <v>138</v>
      </c>
      <c r="V22" s="44">
        <v>2535817</v>
      </c>
      <c r="W22" s="44">
        <v>146014</v>
      </c>
      <c r="X22" s="44">
        <v>2681831</v>
      </c>
      <c r="Y22" s="44">
        <v>595091</v>
      </c>
      <c r="Z22" s="44">
        <v>4785</v>
      </c>
      <c r="AA22" s="44">
        <v>48.24</v>
      </c>
      <c r="AB22" s="44">
        <v>30.12</v>
      </c>
      <c r="AC22" s="44">
        <v>31186004.98</v>
      </c>
      <c r="AD22" s="44">
        <v>29907378.77</v>
      </c>
      <c r="AE22" s="44">
        <v>0.1125</v>
      </c>
      <c r="AF22" t="s">
        <v>376</v>
      </c>
      <c r="AG22">
        <v>2009</v>
      </c>
      <c r="AH22">
        <v>1</v>
      </c>
      <c r="AI22" s="44">
        <v>7351</v>
      </c>
      <c r="AJ22" s="44">
        <v>3.0999999999999999E-3</v>
      </c>
      <c r="AK22" s="44">
        <v>3066528</v>
      </c>
      <c r="AL22" s="44">
        <v>1030879</v>
      </c>
      <c r="AM22" s="44">
        <v>1912731</v>
      </c>
      <c r="AN22" s="44">
        <v>5.7000000000000002E-2</v>
      </c>
      <c r="AO22" s="44">
        <v>826.98750000000007</v>
      </c>
      <c r="AP22" s="44">
        <v>29907378.77</v>
      </c>
      <c r="AQ22" s="44">
        <v>33175307</v>
      </c>
      <c r="AR22" s="44">
        <v>1014264</v>
      </c>
      <c r="AS22" s="44">
        <v>31155776</v>
      </c>
      <c r="AT22" s="44">
        <v>7655</v>
      </c>
      <c r="AU22" s="44">
        <v>3599</v>
      </c>
      <c r="AV22" s="44">
        <v>12858571</v>
      </c>
      <c r="AW22" s="44">
        <v>242134693</v>
      </c>
      <c r="AX22" t="s">
        <v>376</v>
      </c>
      <c r="AY22">
        <v>2009</v>
      </c>
      <c r="AZ22">
        <v>1</v>
      </c>
      <c r="BA22" s="44">
        <v>49.288080554999993</v>
      </c>
      <c r="BB22" s="44">
        <v>181</v>
      </c>
      <c r="BC22" s="44">
        <v>234.02</v>
      </c>
      <c r="BD22" s="44">
        <v>304</v>
      </c>
      <c r="BE22" s="44">
        <v>15069751</v>
      </c>
      <c r="BF22" s="44">
        <v>15551983</v>
      </c>
      <c r="BG22" s="44">
        <v>2539709</v>
      </c>
      <c r="BH22" s="44">
        <v>40000</v>
      </c>
      <c r="BI22" s="44">
        <v>283475</v>
      </c>
      <c r="BJ22" s="44">
        <v>3800</v>
      </c>
      <c r="BK22" s="44">
        <v>9010</v>
      </c>
      <c r="BL22" s="44">
        <v>62.85</v>
      </c>
      <c r="BM22" s="44">
        <v>70.78</v>
      </c>
      <c r="BN22" s="44">
        <v>367</v>
      </c>
      <c r="BO22" s="44">
        <v>90</v>
      </c>
      <c r="BP22" t="s">
        <v>376</v>
      </c>
      <c r="BQ22">
        <v>2009</v>
      </c>
      <c r="BR22">
        <v>1</v>
      </c>
      <c r="BS22" s="44">
        <v>457</v>
      </c>
      <c r="BT22" s="44">
        <v>91.87</v>
      </c>
      <c r="BU22" s="44">
        <v>3448</v>
      </c>
      <c r="BV22" s="44">
        <v>31778.19</v>
      </c>
      <c r="BW22" s="47">
        <v>2697.39</v>
      </c>
      <c r="BX22" s="47">
        <v>100.054</v>
      </c>
      <c r="BY22" s="47">
        <v>722.47</v>
      </c>
      <c r="BZ22" s="47">
        <v>79.540000000000006</v>
      </c>
      <c r="CA22" s="47">
        <v>4004</v>
      </c>
      <c r="CB22" s="47">
        <v>67.150000000000006</v>
      </c>
      <c r="CC22" s="47">
        <v>17</v>
      </c>
      <c r="CD22" s="47">
        <v>84.15</v>
      </c>
      <c r="CE22" s="44">
        <v>70.439999999999898</v>
      </c>
    </row>
    <row r="23" spans="1:83" ht="15.5" x14ac:dyDescent="0.35">
      <c r="C23">
        <v>2</v>
      </c>
      <c r="D23" s="44">
        <v>674289</v>
      </c>
      <c r="E23" s="44">
        <v>3572.5</v>
      </c>
      <c r="F23" s="44">
        <v>3685.2200000000003</v>
      </c>
      <c r="G23" s="44">
        <v>4108</v>
      </c>
      <c r="H23" s="44">
        <v>2986</v>
      </c>
      <c r="I23" s="44">
        <v>3750.5</v>
      </c>
      <c r="J23" s="44">
        <v>237232.5</v>
      </c>
      <c r="K23" s="44">
        <v>1575</v>
      </c>
      <c r="L23" s="44">
        <v>2141</v>
      </c>
      <c r="M23" s="44">
        <v>50.064999999999998</v>
      </c>
      <c r="N23" s="44">
        <v>49.355000000000004</v>
      </c>
      <c r="O23" s="44">
        <v>1167980.5</v>
      </c>
      <c r="P23" s="44">
        <v>3.915</v>
      </c>
      <c r="S23">
        <v>2</v>
      </c>
      <c r="T23" s="44">
        <v>126</v>
      </c>
      <c r="U23" s="44">
        <v>129.5</v>
      </c>
      <c r="V23" s="44">
        <v>2661214.5</v>
      </c>
      <c r="W23" s="44">
        <v>153234.5</v>
      </c>
      <c r="X23" s="44">
        <v>2814449</v>
      </c>
      <c r="Y23" s="44">
        <v>617486.5</v>
      </c>
      <c r="Z23" s="44">
        <v>26319</v>
      </c>
      <c r="AA23" s="44">
        <v>48.44</v>
      </c>
      <c r="AB23" s="44">
        <v>30.774999999999999</v>
      </c>
      <c r="AC23" s="44">
        <v>32728170.064999998</v>
      </c>
      <c r="AD23" s="44">
        <v>31352044.75</v>
      </c>
      <c r="AE23" s="44">
        <v>0.1125</v>
      </c>
      <c r="AH23">
        <v>2</v>
      </c>
      <c r="AI23" s="44">
        <v>7371</v>
      </c>
      <c r="AJ23" s="44">
        <v>3.0999999999999999E-3</v>
      </c>
      <c r="AK23" s="44">
        <v>3181935</v>
      </c>
      <c r="AL23" s="44">
        <v>1046820.5</v>
      </c>
      <c r="AM23" s="44">
        <v>1966255</v>
      </c>
      <c r="AN23" s="44">
        <v>5.3999999999999999E-2</v>
      </c>
      <c r="AO23" s="44">
        <v>829.23750000000007</v>
      </c>
      <c r="AP23" s="44">
        <v>31352044.75</v>
      </c>
      <c r="AQ23" s="44">
        <v>33776932</v>
      </c>
      <c r="AR23" s="44">
        <v>1017839</v>
      </c>
      <c r="AS23" s="44">
        <v>31329039</v>
      </c>
      <c r="AT23" s="44">
        <v>7913</v>
      </c>
      <c r="AU23" s="44">
        <v>3609.5</v>
      </c>
      <c r="AV23" s="44">
        <v>12982204</v>
      </c>
      <c r="AW23" s="44">
        <v>242877736.5</v>
      </c>
      <c r="AZ23">
        <v>2</v>
      </c>
      <c r="BA23" s="44">
        <v>49.612672777499995</v>
      </c>
      <c r="BB23" s="44">
        <v>300.5</v>
      </c>
      <c r="BC23" s="44">
        <v>235.8</v>
      </c>
      <c r="BD23" s="44">
        <v>542</v>
      </c>
      <c r="BE23" s="44">
        <v>15255034.5</v>
      </c>
      <c r="BF23" s="44">
        <v>15334027</v>
      </c>
      <c r="BG23" s="44">
        <v>2592619.5</v>
      </c>
      <c r="BH23" s="44">
        <v>41500</v>
      </c>
      <c r="BI23" s="44">
        <v>284474</v>
      </c>
      <c r="BJ23" s="44">
        <v>3900</v>
      </c>
      <c r="BK23" s="44">
        <v>9023.5</v>
      </c>
      <c r="BL23" s="44">
        <v>60.814999999999998</v>
      </c>
      <c r="BM23" s="44">
        <v>71.105000000000004</v>
      </c>
      <c r="BN23" s="44">
        <v>369</v>
      </c>
      <c r="BO23" s="44">
        <v>78.5</v>
      </c>
      <c r="BR23">
        <v>2</v>
      </c>
      <c r="BS23" s="44">
        <v>447.5</v>
      </c>
      <c r="BT23" s="44">
        <v>91.965000000000003</v>
      </c>
      <c r="BU23" s="44">
        <v>3487</v>
      </c>
      <c r="BV23" s="44">
        <v>32269.61</v>
      </c>
      <c r="BW23" s="44">
        <v>2743.415</v>
      </c>
      <c r="BX23" s="44">
        <v>99.847000000000008</v>
      </c>
      <c r="BY23" s="44">
        <v>751.34</v>
      </c>
      <c r="BZ23" s="44">
        <v>79.63</v>
      </c>
      <c r="CA23" s="44">
        <v>4017</v>
      </c>
      <c r="CB23" s="44">
        <v>67.025000000000006</v>
      </c>
      <c r="CC23" s="44">
        <v>17</v>
      </c>
      <c r="CD23" s="44">
        <v>84.025000000000006</v>
      </c>
      <c r="CE23" s="44">
        <v>70.599999999999909</v>
      </c>
    </row>
    <row r="24" spans="1:83" ht="15.5" x14ac:dyDescent="0.35">
      <c r="A24" t="s">
        <v>381</v>
      </c>
      <c r="B24">
        <v>2010</v>
      </c>
      <c r="C24">
        <v>1</v>
      </c>
      <c r="D24" s="44">
        <v>688401</v>
      </c>
      <c r="E24" s="44">
        <v>3647</v>
      </c>
      <c r="F24" s="44">
        <v>3770.998</v>
      </c>
      <c r="G24" s="44">
        <v>4194</v>
      </c>
      <c r="H24" s="44">
        <v>3099</v>
      </c>
      <c r="I24" s="44">
        <v>3829</v>
      </c>
      <c r="J24" s="44">
        <v>260695</v>
      </c>
      <c r="K24" s="44">
        <v>1650</v>
      </c>
      <c r="L24" s="44">
        <v>1968</v>
      </c>
      <c r="M24" s="44">
        <v>47.95</v>
      </c>
      <c r="N24" s="44">
        <v>46.24</v>
      </c>
      <c r="O24" s="44">
        <v>1188180</v>
      </c>
      <c r="P24" s="44">
        <v>4.01</v>
      </c>
      <c r="Q24" t="s">
        <v>381</v>
      </c>
      <c r="R24">
        <v>2010</v>
      </c>
      <c r="S24">
        <v>1</v>
      </c>
      <c r="T24" s="44">
        <v>120</v>
      </c>
      <c r="U24" s="44">
        <v>121</v>
      </c>
      <c r="V24" s="44">
        <v>2786612</v>
      </c>
      <c r="W24" s="44">
        <v>160455</v>
      </c>
      <c r="X24" s="44">
        <v>2947067</v>
      </c>
      <c r="Y24" s="44">
        <v>639882</v>
      </c>
      <c r="Z24" s="44">
        <v>47853</v>
      </c>
      <c r="AA24" s="44">
        <v>48.64</v>
      </c>
      <c r="AB24" s="44">
        <v>31.43</v>
      </c>
      <c r="AC24" s="44">
        <v>34270335.149999999</v>
      </c>
      <c r="AD24" s="44">
        <v>32796710.73</v>
      </c>
      <c r="AE24" s="44">
        <v>0.1125</v>
      </c>
      <c r="AF24" t="s">
        <v>381</v>
      </c>
      <c r="AG24">
        <v>2010</v>
      </c>
      <c r="AH24">
        <v>1</v>
      </c>
      <c r="AI24" s="44">
        <v>7391</v>
      </c>
      <c r="AJ24" s="44">
        <v>3.0999999999999999E-3</v>
      </c>
      <c r="AK24" s="44">
        <v>3297342</v>
      </c>
      <c r="AL24" s="44">
        <v>1062762</v>
      </c>
      <c r="AM24" s="44">
        <v>2019779</v>
      </c>
      <c r="AN24" s="44">
        <v>5.0999999999999997E-2</v>
      </c>
      <c r="AO24" s="44">
        <v>831.48750000000007</v>
      </c>
      <c r="AP24" s="44">
        <v>32796710.73</v>
      </c>
      <c r="AQ24" s="44">
        <v>34378557</v>
      </c>
      <c r="AR24" s="44">
        <v>1021414</v>
      </c>
      <c r="AS24" s="44">
        <v>31502302</v>
      </c>
      <c r="AT24" s="44">
        <v>8171</v>
      </c>
      <c r="AU24" s="44">
        <v>3620</v>
      </c>
      <c r="AV24" s="62">
        <v>12997898</v>
      </c>
      <c r="AW24" s="44">
        <v>243620780</v>
      </c>
      <c r="AX24" t="s">
        <v>381</v>
      </c>
      <c r="AY24">
        <v>2010</v>
      </c>
      <c r="AZ24">
        <v>1</v>
      </c>
      <c r="BA24" s="44">
        <v>49.937264999999996</v>
      </c>
      <c r="BB24" s="44">
        <v>420</v>
      </c>
      <c r="BC24" s="44">
        <v>237.58</v>
      </c>
      <c r="BD24" s="44">
        <v>780</v>
      </c>
      <c r="BE24" s="44">
        <v>15440318</v>
      </c>
      <c r="BF24" s="44">
        <v>15116071</v>
      </c>
      <c r="BG24" s="44">
        <v>2645530</v>
      </c>
      <c r="BH24" s="44">
        <v>43000</v>
      </c>
      <c r="BI24" s="44">
        <v>285473</v>
      </c>
      <c r="BJ24" s="44">
        <v>4000</v>
      </c>
      <c r="BK24" s="44">
        <v>9037</v>
      </c>
      <c r="BL24" s="44">
        <v>58.78</v>
      </c>
      <c r="BM24" s="44">
        <v>71.430000000000007</v>
      </c>
      <c r="BN24" s="44">
        <v>371</v>
      </c>
      <c r="BO24" s="44">
        <v>67</v>
      </c>
      <c r="BP24" t="s">
        <v>381</v>
      </c>
      <c r="BQ24">
        <v>2010</v>
      </c>
      <c r="BR24">
        <v>1</v>
      </c>
      <c r="BS24" s="44">
        <v>438</v>
      </c>
      <c r="BT24" s="44">
        <v>92.06</v>
      </c>
      <c r="BU24" s="44">
        <v>3526</v>
      </c>
      <c r="BV24" s="44">
        <v>32761.03</v>
      </c>
      <c r="BW24" s="47">
        <v>2789.44</v>
      </c>
      <c r="BX24" s="47">
        <v>99.64</v>
      </c>
      <c r="BY24" s="47">
        <v>780.21</v>
      </c>
      <c r="BZ24" s="47">
        <v>79.72</v>
      </c>
      <c r="CA24" s="47">
        <v>4030</v>
      </c>
      <c r="CB24" s="47">
        <v>66.900000000000006</v>
      </c>
      <c r="CC24" s="47">
        <v>17</v>
      </c>
      <c r="CD24" s="47">
        <v>83.9</v>
      </c>
      <c r="CE24" s="44">
        <v>70.759999999999906</v>
      </c>
    </row>
    <row r="25" spans="1:83" ht="15.5" x14ac:dyDescent="0.35">
      <c r="C25">
        <v>2</v>
      </c>
      <c r="D25" s="44">
        <v>695784.5</v>
      </c>
      <c r="E25" s="44">
        <v>3713.5</v>
      </c>
      <c r="F25" s="44">
        <v>3892.6790000000001</v>
      </c>
      <c r="G25" s="44">
        <v>4270.5</v>
      </c>
      <c r="H25" s="44">
        <v>3156</v>
      </c>
      <c r="I25" s="44">
        <v>3899</v>
      </c>
      <c r="J25" s="44">
        <v>275178.5</v>
      </c>
      <c r="K25" s="44">
        <v>1675</v>
      </c>
      <c r="L25" s="44">
        <v>2005</v>
      </c>
      <c r="M25" s="44">
        <v>48.44</v>
      </c>
      <c r="N25" s="44">
        <v>49.730000000000004</v>
      </c>
      <c r="O25" s="44">
        <v>1209090</v>
      </c>
      <c r="P25" s="44">
        <v>4.12</v>
      </c>
      <c r="S25">
        <v>2</v>
      </c>
      <c r="T25" s="44">
        <v>122.5</v>
      </c>
      <c r="U25" s="44">
        <v>128.5</v>
      </c>
      <c r="V25" s="44">
        <v>3113437</v>
      </c>
      <c r="W25" s="44">
        <v>163798</v>
      </c>
      <c r="X25" s="44">
        <v>3277235</v>
      </c>
      <c r="Y25" s="44">
        <v>671525</v>
      </c>
      <c r="Z25" s="44">
        <v>51116</v>
      </c>
      <c r="AA25" s="44">
        <v>48.784999999999997</v>
      </c>
      <c r="AB25" s="44">
        <v>31.085000000000001</v>
      </c>
      <c r="AC25" s="44">
        <v>35172186.075000003</v>
      </c>
      <c r="AD25" s="44">
        <v>33876226.289999999</v>
      </c>
      <c r="AE25" s="44">
        <v>0.11260000000000001</v>
      </c>
      <c r="AH25">
        <v>2</v>
      </c>
      <c r="AI25" s="44">
        <v>7640.5</v>
      </c>
      <c r="AJ25" s="44">
        <v>3.15E-3</v>
      </c>
      <c r="AK25" s="44">
        <v>3330988.5</v>
      </c>
      <c r="AL25" s="44">
        <v>1069761</v>
      </c>
      <c r="AM25" s="44">
        <v>2076299</v>
      </c>
      <c r="AN25" s="44">
        <v>5.1499999999999997E-2</v>
      </c>
      <c r="AO25" s="44">
        <v>860.34525000000008</v>
      </c>
      <c r="AP25" s="44">
        <v>33876226.289999999</v>
      </c>
      <c r="AQ25" s="44">
        <v>35226297</v>
      </c>
      <c r="AR25" s="44">
        <v>1027617</v>
      </c>
      <c r="AS25" s="44">
        <v>31840171.5</v>
      </c>
      <c r="AT25" s="44">
        <v>8230.5</v>
      </c>
      <c r="AU25" s="44">
        <v>3631.5</v>
      </c>
      <c r="AV25" s="61">
        <v>13028663</v>
      </c>
      <c r="AW25" s="44">
        <v>244368384</v>
      </c>
      <c r="AZ25">
        <v>2</v>
      </c>
      <c r="BA25" s="44">
        <v>50.266132499999998</v>
      </c>
      <c r="BB25" s="44">
        <v>325.5</v>
      </c>
      <c r="BC25" s="44">
        <v>243.18</v>
      </c>
      <c r="BD25" s="44">
        <v>590</v>
      </c>
      <c r="BE25" s="44">
        <v>15712042.5</v>
      </c>
      <c r="BF25" s="44">
        <v>16173285.5</v>
      </c>
      <c r="BG25" s="44">
        <v>2704965</v>
      </c>
      <c r="BH25" s="44">
        <v>45500</v>
      </c>
      <c r="BI25" s="44">
        <v>286046.5</v>
      </c>
      <c r="BJ25" s="44">
        <v>4150</v>
      </c>
      <c r="BK25" s="44">
        <v>9052.5</v>
      </c>
      <c r="BL25" s="44">
        <v>59.625</v>
      </c>
      <c r="BM25" s="44">
        <v>71.685000000000002</v>
      </c>
      <c r="BN25" s="44">
        <v>373</v>
      </c>
      <c r="BO25" s="44">
        <v>83</v>
      </c>
      <c r="BR25">
        <v>2</v>
      </c>
      <c r="BS25" s="44">
        <v>456</v>
      </c>
      <c r="BT25" s="44">
        <v>92.295000000000002</v>
      </c>
      <c r="BU25" s="44">
        <v>3584.5</v>
      </c>
      <c r="BV25" s="44">
        <v>33302.535000000003</v>
      </c>
      <c r="BW25" s="44">
        <v>2843.0299999999997</v>
      </c>
      <c r="BX25" s="44">
        <v>99.025000000000006</v>
      </c>
      <c r="BY25" s="44">
        <v>806.88499999999999</v>
      </c>
      <c r="BZ25" s="44">
        <v>79.765000000000001</v>
      </c>
      <c r="CA25" s="44">
        <v>4043</v>
      </c>
      <c r="CB25" s="44">
        <v>67.03</v>
      </c>
      <c r="CC25" s="44">
        <v>17.5</v>
      </c>
      <c r="CD25" s="44">
        <v>84.53</v>
      </c>
      <c r="CE25" s="44">
        <v>70.919999999999902</v>
      </c>
    </row>
    <row r="26" spans="1:83" ht="15.5" x14ac:dyDescent="0.35">
      <c r="A26" t="s">
        <v>383</v>
      </c>
      <c r="B26">
        <v>2011</v>
      </c>
      <c r="C26">
        <v>1</v>
      </c>
      <c r="D26" s="44">
        <v>703168</v>
      </c>
      <c r="E26" s="44">
        <v>3780</v>
      </c>
      <c r="F26" s="44">
        <v>4014.36</v>
      </c>
      <c r="G26" s="44">
        <v>4347</v>
      </c>
      <c r="H26" s="44">
        <v>3213</v>
      </c>
      <c r="I26" s="44">
        <v>3969</v>
      </c>
      <c r="J26" s="44">
        <v>289662</v>
      </c>
      <c r="K26" s="44">
        <v>1700</v>
      </c>
      <c r="L26" s="44">
        <v>2042</v>
      </c>
      <c r="M26" s="44">
        <v>48.93</v>
      </c>
      <c r="N26" s="44">
        <v>53.22</v>
      </c>
      <c r="O26" s="44">
        <v>1230000</v>
      </c>
      <c r="P26" s="44">
        <v>4.2300000000000004</v>
      </c>
      <c r="Q26" t="s">
        <v>383</v>
      </c>
      <c r="R26">
        <v>2011</v>
      </c>
      <c r="S26">
        <v>1</v>
      </c>
      <c r="T26" s="44">
        <v>125</v>
      </c>
      <c r="U26" s="44">
        <v>136</v>
      </c>
      <c r="V26" s="44">
        <v>3440262</v>
      </c>
      <c r="W26" s="44">
        <v>167141</v>
      </c>
      <c r="X26" s="44">
        <v>3607403</v>
      </c>
      <c r="Y26" s="44">
        <v>703168</v>
      </c>
      <c r="Z26" s="44">
        <v>54379</v>
      </c>
      <c r="AA26" s="44">
        <v>48.93</v>
      </c>
      <c r="AB26" s="44">
        <v>30.74</v>
      </c>
      <c r="AC26" s="44">
        <v>36074037</v>
      </c>
      <c r="AD26" s="44">
        <v>34955741.850000001</v>
      </c>
      <c r="AE26" s="44">
        <v>0.11269999999999999</v>
      </c>
      <c r="AF26" t="s">
        <v>383</v>
      </c>
      <c r="AG26">
        <v>2011</v>
      </c>
      <c r="AH26">
        <v>1</v>
      </c>
      <c r="AI26" s="44">
        <v>7890</v>
      </c>
      <c r="AJ26" s="44">
        <v>3.2000000000000002E-3</v>
      </c>
      <c r="AK26" s="44">
        <v>3364635</v>
      </c>
      <c r="AL26" s="44">
        <v>1076760</v>
      </c>
      <c r="AM26" s="44">
        <v>2132819</v>
      </c>
      <c r="AN26" s="44">
        <v>5.1999999999999998E-2</v>
      </c>
      <c r="AO26" s="44">
        <v>889.20299999999997</v>
      </c>
      <c r="AP26" s="44">
        <v>34955741.850000001</v>
      </c>
      <c r="AQ26" s="44">
        <v>36074037</v>
      </c>
      <c r="AR26" s="44">
        <v>1033820</v>
      </c>
      <c r="AS26" s="44">
        <v>32178041</v>
      </c>
      <c r="AT26" s="44">
        <v>8290</v>
      </c>
      <c r="AU26" s="44">
        <v>3643</v>
      </c>
      <c r="AV26" s="44">
        <v>13103596</v>
      </c>
      <c r="AW26" s="44">
        <v>245115988</v>
      </c>
      <c r="AX26" t="s">
        <v>383</v>
      </c>
      <c r="AY26">
        <v>2011</v>
      </c>
      <c r="AZ26">
        <v>1</v>
      </c>
      <c r="BA26" s="44">
        <v>50.594999999999999</v>
      </c>
      <c r="BB26" s="44">
        <v>231</v>
      </c>
      <c r="BC26" s="44">
        <v>248.78</v>
      </c>
      <c r="BD26" s="44">
        <v>400</v>
      </c>
      <c r="BE26" s="44">
        <v>15983767</v>
      </c>
      <c r="BF26" s="44">
        <v>17230500</v>
      </c>
      <c r="BG26" s="44">
        <v>2764400</v>
      </c>
      <c r="BH26" s="44">
        <v>48000</v>
      </c>
      <c r="BI26" s="44">
        <v>286620</v>
      </c>
      <c r="BJ26" s="44">
        <v>4300</v>
      </c>
      <c r="BK26" s="44">
        <v>9068</v>
      </c>
      <c r="BL26" s="44">
        <v>60.47</v>
      </c>
      <c r="BM26" s="44">
        <v>71.94</v>
      </c>
      <c r="BN26" s="44">
        <v>375</v>
      </c>
      <c r="BO26" s="44">
        <v>99</v>
      </c>
      <c r="BP26" t="s">
        <v>383</v>
      </c>
      <c r="BQ26">
        <v>2011</v>
      </c>
      <c r="BR26">
        <v>1</v>
      </c>
      <c r="BS26" s="44">
        <v>474</v>
      </c>
      <c r="BT26" s="44">
        <v>92.53</v>
      </c>
      <c r="BU26" s="44">
        <v>3643</v>
      </c>
      <c r="BV26" s="44">
        <v>33844.04</v>
      </c>
      <c r="BW26" s="47">
        <v>2896.62</v>
      </c>
      <c r="BX26" s="47">
        <v>98.41</v>
      </c>
      <c r="BY26" s="47">
        <v>833.56</v>
      </c>
      <c r="BZ26" s="47">
        <v>79.81</v>
      </c>
      <c r="CA26" s="47">
        <v>4056</v>
      </c>
      <c r="CB26" s="47">
        <v>67.16</v>
      </c>
      <c r="CC26" s="47">
        <v>18</v>
      </c>
      <c r="CD26" s="47">
        <v>85.16</v>
      </c>
      <c r="CE26" s="44">
        <v>71.079999999999899</v>
      </c>
    </row>
    <row r="27" spans="1:83" ht="15.5" x14ac:dyDescent="0.35">
      <c r="C27">
        <v>2</v>
      </c>
      <c r="D27" s="44">
        <v>708737.5</v>
      </c>
      <c r="E27" s="44">
        <v>3931</v>
      </c>
      <c r="F27" s="44">
        <v>4107.3689999999997</v>
      </c>
      <c r="G27" s="44">
        <v>4520.6499999999996</v>
      </c>
      <c r="H27" s="44">
        <v>3291</v>
      </c>
      <c r="I27" s="44">
        <v>4127.5</v>
      </c>
      <c r="J27" s="44">
        <v>289662</v>
      </c>
      <c r="K27" s="44">
        <v>1775</v>
      </c>
      <c r="L27" s="44">
        <v>2608.5</v>
      </c>
      <c r="M27" s="44">
        <v>49.33</v>
      </c>
      <c r="N27" s="44">
        <v>48.120000000000005</v>
      </c>
      <c r="O27" s="44">
        <v>1362222</v>
      </c>
      <c r="P27" s="44">
        <v>4.4950000000000001</v>
      </c>
      <c r="S27">
        <v>2</v>
      </c>
      <c r="T27" s="44">
        <v>130</v>
      </c>
      <c r="U27" s="44">
        <v>138</v>
      </c>
      <c r="V27" s="44">
        <v>3496317.5</v>
      </c>
      <c r="W27" s="44">
        <v>165140.5</v>
      </c>
      <c r="X27" s="44">
        <v>3661458</v>
      </c>
      <c r="Y27" s="44">
        <v>708737.5</v>
      </c>
      <c r="Z27" s="44">
        <v>52585.5</v>
      </c>
      <c r="AA27" s="44">
        <v>49.33</v>
      </c>
      <c r="AB27" s="44">
        <v>31.43</v>
      </c>
      <c r="AC27" s="44">
        <v>36614592.5</v>
      </c>
      <c r="AD27" s="44">
        <v>35293764.390000001</v>
      </c>
      <c r="AE27" s="44">
        <v>0.11255</v>
      </c>
      <c r="AH27">
        <v>2</v>
      </c>
      <c r="AI27" s="44">
        <v>8266.5</v>
      </c>
      <c r="AJ27" s="44">
        <v>3.2000000000000002E-3</v>
      </c>
      <c r="AK27" s="44">
        <v>3368727</v>
      </c>
      <c r="AL27" s="44">
        <v>2201241</v>
      </c>
      <c r="AM27" s="44">
        <v>1809223</v>
      </c>
      <c r="AN27" s="44">
        <v>5.1999999999999998E-2</v>
      </c>
      <c r="AO27" s="44">
        <v>930.33809999999994</v>
      </c>
      <c r="AP27" s="44">
        <v>35293764.390000001</v>
      </c>
      <c r="AQ27" s="44">
        <v>36614592.5</v>
      </c>
      <c r="AR27" s="44">
        <v>1677298.5</v>
      </c>
      <c r="AS27" s="44">
        <v>30802459</v>
      </c>
      <c r="AT27" s="44">
        <v>8566.5</v>
      </c>
      <c r="AU27" s="44">
        <v>3668.5</v>
      </c>
      <c r="AV27" s="44">
        <v>13220936</v>
      </c>
      <c r="AW27" s="44">
        <v>246783851</v>
      </c>
      <c r="AZ27">
        <v>2</v>
      </c>
      <c r="BA27" s="44">
        <v>50.935500000000005</v>
      </c>
      <c r="BB27" s="44">
        <v>181.5</v>
      </c>
      <c r="BC27" s="44">
        <v>256.01499999999999</v>
      </c>
      <c r="BD27" s="44">
        <v>300</v>
      </c>
      <c r="BE27" s="44">
        <v>16729378</v>
      </c>
      <c r="BF27" s="44">
        <v>18034269</v>
      </c>
      <c r="BG27" s="44">
        <v>3019200</v>
      </c>
      <c r="BH27" s="44">
        <v>46500</v>
      </c>
      <c r="BI27" s="44">
        <v>287857.5</v>
      </c>
      <c r="BJ27" s="44">
        <v>4350</v>
      </c>
      <c r="BK27" s="44">
        <v>9369</v>
      </c>
      <c r="BL27" s="44">
        <v>62.62</v>
      </c>
      <c r="BM27" s="44">
        <v>71.954999999999998</v>
      </c>
      <c r="BN27" s="44">
        <v>377</v>
      </c>
      <c r="BO27" s="44">
        <v>97</v>
      </c>
      <c r="BR27">
        <v>2</v>
      </c>
      <c r="BS27" s="44">
        <v>474</v>
      </c>
      <c r="BT27" s="44">
        <v>93.045000000000002</v>
      </c>
      <c r="BU27" s="44">
        <v>3668.5</v>
      </c>
      <c r="BV27" s="44">
        <v>33893.404999999999</v>
      </c>
      <c r="BW27" s="44">
        <v>2896.62</v>
      </c>
      <c r="BX27" s="44">
        <v>99.57</v>
      </c>
      <c r="BY27" s="44">
        <v>843.38499999999999</v>
      </c>
      <c r="BZ27" s="44">
        <v>79.45</v>
      </c>
      <c r="CA27" s="44">
        <v>4071.5</v>
      </c>
      <c r="CB27" s="44">
        <v>67.034999999999997</v>
      </c>
      <c r="CC27" s="44">
        <v>18</v>
      </c>
      <c r="CD27" s="44">
        <v>85.034999999999997</v>
      </c>
      <c r="CE27" s="44">
        <v>71.239999999999895</v>
      </c>
    </row>
    <row r="28" spans="1:83" ht="15.5" x14ac:dyDescent="0.35">
      <c r="A28" t="s">
        <v>366</v>
      </c>
      <c r="B28">
        <v>2012</v>
      </c>
      <c r="C28">
        <v>1</v>
      </c>
      <c r="D28" s="44">
        <v>714307</v>
      </c>
      <c r="E28" s="44">
        <v>4082</v>
      </c>
      <c r="F28" s="44">
        <v>4200.3779999999997</v>
      </c>
      <c r="G28" s="44">
        <v>4694.2999999999993</v>
      </c>
      <c r="H28" s="44">
        <v>3369</v>
      </c>
      <c r="I28" s="44">
        <v>4286</v>
      </c>
      <c r="J28" s="44">
        <v>289662</v>
      </c>
      <c r="K28" s="44">
        <v>1850</v>
      </c>
      <c r="L28" s="44">
        <v>3175</v>
      </c>
      <c r="M28" s="44">
        <v>49.73</v>
      </c>
      <c r="N28" s="44">
        <v>43.02</v>
      </c>
      <c r="O28" s="44">
        <v>1494444</v>
      </c>
      <c r="P28" s="44">
        <v>4.76</v>
      </c>
      <c r="Q28" t="s">
        <v>366</v>
      </c>
      <c r="R28">
        <v>2012</v>
      </c>
      <c r="S28">
        <v>1</v>
      </c>
      <c r="T28" s="44">
        <v>135</v>
      </c>
      <c r="U28" s="44">
        <v>140</v>
      </c>
      <c r="V28" s="44">
        <v>3552373</v>
      </c>
      <c r="W28" s="44">
        <v>163140</v>
      </c>
      <c r="X28" s="44">
        <v>3715513</v>
      </c>
      <c r="Y28" s="44">
        <v>714307</v>
      </c>
      <c r="Z28" s="44">
        <v>50792</v>
      </c>
      <c r="AA28" s="44">
        <v>49.73</v>
      </c>
      <c r="AB28" s="44">
        <v>32.119999999999997</v>
      </c>
      <c r="AC28" s="44">
        <v>37155148</v>
      </c>
      <c r="AD28" s="44">
        <v>35631786.93</v>
      </c>
      <c r="AE28" s="44">
        <v>0.1124</v>
      </c>
      <c r="AF28" t="s">
        <v>366</v>
      </c>
      <c r="AG28">
        <v>2012</v>
      </c>
      <c r="AH28">
        <v>1</v>
      </c>
      <c r="AI28" s="44">
        <v>8643</v>
      </c>
      <c r="AJ28" s="44">
        <v>3.2000000000000002E-3</v>
      </c>
      <c r="AK28" s="44">
        <v>3372819</v>
      </c>
      <c r="AL28" s="44">
        <v>3325722</v>
      </c>
      <c r="AM28" s="44">
        <v>1485627</v>
      </c>
      <c r="AN28" s="44">
        <v>5.1999999999999998E-2</v>
      </c>
      <c r="AO28" s="44">
        <v>971.47320000000002</v>
      </c>
      <c r="AP28" s="44">
        <v>35631786.93</v>
      </c>
      <c r="AQ28" s="44">
        <v>37155148</v>
      </c>
      <c r="AR28" s="44">
        <v>2320777</v>
      </c>
      <c r="AS28" s="44">
        <v>29426877</v>
      </c>
      <c r="AT28" s="44">
        <v>8843</v>
      </c>
      <c r="AU28" s="44">
        <v>3694</v>
      </c>
      <c r="AV28" s="44">
        <v>13315401</v>
      </c>
      <c r="AW28" s="44">
        <v>248451714</v>
      </c>
      <c r="AX28" t="s">
        <v>366</v>
      </c>
      <c r="AY28">
        <v>2012</v>
      </c>
      <c r="AZ28">
        <v>1</v>
      </c>
      <c r="BA28" s="44">
        <v>51.276000000000003</v>
      </c>
      <c r="BB28" s="44">
        <v>132</v>
      </c>
      <c r="BC28" s="44">
        <v>263.25</v>
      </c>
      <c r="BD28" s="44">
        <v>200</v>
      </c>
      <c r="BE28" s="44">
        <v>17474989</v>
      </c>
      <c r="BF28" s="44">
        <v>18838038</v>
      </c>
      <c r="BG28" s="44">
        <v>3274000</v>
      </c>
      <c r="BH28" s="44">
        <v>45000</v>
      </c>
      <c r="BI28" s="44">
        <v>289095</v>
      </c>
      <c r="BJ28" s="44">
        <v>4400</v>
      </c>
      <c r="BK28" s="44">
        <v>9670</v>
      </c>
      <c r="BL28" s="44">
        <v>64.77</v>
      </c>
      <c r="BM28" s="44">
        <v>71.97</v>
      </c>
      <c r="BN28" s="44">
        <v>379</v>
      </c>
      <c r="BO28" s="44">
        <v>95</v>
      </c>
      <c r="BP28" t="s">
        <v>366</v>
      </c>
      <c r="BQ28">
        <v>2012</v>
      </c>
      <c r="BR28">
        <v>1</v>
      </c>
      <c r="BS28" s="44">
        <v>474</v>
      </c>
      <c r="BT28" s="44">
        <v>93.56</v>
      </c>
      <c r="BU28" s="44">
        <v>3694</v>
      </c>
      <c r="BV28" s="44">
        <v>33942.769999999997</v>
      </c>
      <c r="BW28" s="47">
        <v>2896.62</v>
      </c>
      <c r="BX28" s="47">
        <v>100.73</v>
      </c>
      <c r="BY28" s="47">
        <v>853.21</v>
      </c>
      <c r="BZ28" s="47">
        <v>79.09</v>
      </c>
      <c r="CA28" s="47">
        <v>4087</v>
      </c>
      <c r="CB28" s="47">
        <v>66.91</v>
      </c>
      <c r="CC28" s="47">
        <v>18</v>
      </c>
      <c r="CD28" s="47">
        <v>84.91</v>
      </c>
      <c r="CE28" s="44">
        <v>71.399999999999906</v>
      </c>
    </row>
    <row r="29" spans="1:83" ht="15.5" x14ac:dyDescent="0.35">
      <c r="C29">
        <v>2</v>
      </c>
      <c r="D29" s="44">
        <v>705825.5</v>
      </c>
      <c r="E29" s="44">
        <v>4352.5</v>
      </c>
      <c r="F29" s="44">
        <v>4455.6075000000001</v>
      </c>
      <c r="G29" s="44">
        <v>4961.1499999999996</v>
      </c>
      <c r="H29" s="44">
        <v>3599</v>
      </c>
      <c r="I29" s="44">
        <v>4570</v>
      </c>
      <c r="J29" s="44">
        <v>281357</v>
      </c>
      <c r="K29" s="44">
        <v>1875</v>
      </c>
      <c r="L29" s="44">
        <v>2901</v>
      </c>
      <c r="M29" s="44">
        <v>50.47</v>
      </c>
      <c r="N29" s="44">
        <v>46.760000000000005</v>
      </c>
      <c r="O29" s="44">
        <v>1430555.5</v>
      </c>
      <c r="P29" s="44">
        <v>5.0649999999999995</v>
      </c>
      <c r="S29">
        <v>2</v>
      </c>
      <c r="T29" s="44">
        <v>151</v>
      </c>
      <c r="U29" s="44">
        <v>160</v>
      </c>
      <c r="V29" s="44">
        <v>3561757</v>
      </c>
      <c r="W29" s="44">
        <v>159839.5</v>
      </c>
      <c r="X29" s="44">
        <v>3721596.5</v>
      </c>
      <c r="Y29" s="44">
        <v>705825.5</v>
      </c>
      <c r="Z29" s="44">
        <v>48208</v>
      </c>
      <c r="AA29" s="44">
        <v>50.47</v>
      </c>
      <c r="AB29" s="44">
        <v>33.215000000000003</v>
      </c>
      <c r="AC29" s="44">
        <v>37213823</v>
      </c>
      <c r="AD29" s="44">
        <v>35384048.620000005</v>
      </c>
      <c r="AE29" s="44">
        <v>0.11210000000000001</v>
      </c>
      <c r="AH29">
        <v>2</v>
      </c>
      <c r="AI29" s="44">
        <v>8792</v>
      </c>
      <c r="AJ29" s="44">
        <v>3.1619999999999999E-3</v>
      </c>
      <c r="AK29" s="44">
        <v>3402217</v>
      </c>
      <c r="AL29" s="44">
        <v>3305074.5</v>
      </c>
      <c r="AM29" s="44">
        <v>897177</v>
      </c>
      <c r="AN29" s="44">
        <v>5.2499999999999998E-2</v>
      </c>
      <c r="AO29" s="44">
        <v>985.5385</v>
      </c>
      <c r="AP29" s="44">
        <v>35384048.620000005</v>
      </c>
      <c r="AQ29" s="44">
        <v>37213823</v>
      </c>
      <c r="AR29" s="44">
        <v>2215126.5</v>
      </c>
      <c r="AS29" s="44">
        <v>30069707.5</v>
      </c>
      <c r="AT29" s="44">
        <v>9117</v>
      </c>
      <c r="AU29" s="44">
        <v>3658.96362027137</v>
      </c>
      <c r="AV29" s="44">
        <v>13408202</v>
      </c>
      <c r="AW29" s="44">
        <v>250128514</v>
      </c>
      <c r="AZ29">
        <v>2</v>
      </c>
      <c r="BA29" s="44">
        <v>51.615499999999997</v>
      </c>
      <c r="BB29" s="44">
        <v>195</v>
      </c>
      <c r="BC29" s="44">
        <v>275.34500000000003</v>
      </c>
      <c r="BD29" s="44">
        <v>325</v>
      </c>
      <c r="BE29" s="44">
        <v>17177185</v>
      </c>
      <c r="BF29" s="44">
        <v>18787075</v>
      </c>
      <c r="BG29" s="44">
        <v>3242750</v>
      </c>
      <c r="BH29" s="44">
        <v>50500</v>
      </c>
      <c r="BI29" s="44">
        <v>288347.5</v>
      </c>
      <c r="BJ29" s="44">
        <v>4600</v>
      </c>
      <c r="BK29" s="44">
        <v>10929.5</v>
      </c>
      <c r="BL29" s="44">
        <v>62.22</v>
      </c>
      <c r="BM29" s="44">
        <v>72.17</v>
      </c>
      <c r="BN29" s="44">
        <v>381</v>
      </c>
      <c r="BO29" s="44">
        <v>82</v>
      </c>
      <c r="BR29">
        <v>2</v>
      </c>
      <c r="BS29" s="44">
        <v>463</v>
      </c>
      <c r="BT29" s="44">
        <v>93.73</v>
      </c>
      <c r="BU29" s="44">
        <v>3658.5</v>
      </c>
      <c r="BV29" s="44">
        <v>33663.214999999997</v>
      </c>
      <c r="BW29" s="44">
        <v>2813.5699999999997</v>
      </c>
      <c r="BX29" s="44">
        <v>101.155</v>
      </c>
      <c r="BY29" s="44">
        <v>858.5150000000001</v>
      </c>
      <c r="BZ29" s="44">
        <v>79.135000000000005</v>
      </c>
      <c r="CA29" s="44">
        <v>4142.5</v>
      </c>
      <c r="CB29" s="44">
        <v>67.039999999999992</v>
      </c>
      <c r="CC29" s="44">
        <v>18</v>
      </c>
      <c r="CD29" s="44">
        <v>85.039999999999992</v>
      </c>
      <c r="CE29" s="44">
        <v>71.559999999999903</v>
      </c>
    </row>
    <row r="30" spans="1:83" ht="15.5" x14ac:dyDescent="0.35">
      <c r="A30" t="s">
        <v>378</v>
      </c>
      <c r="B30">
        <v>2013</v>
      </c>
      <c r="C30">
        <v>1</v>
      </c>
      <c r="D30" s="44">
        <v>697344</v>
      </c>
      <c r="E30" s="44">
        <v>4623</v>
      </c>
      <c r="F30" s="44">
        <v>4710.8370000000004</v>
      </c>
      <c r="G30" s="44">
        <v>5228</v>
      </c>
      <c r="H30" s="44">
        <v>3829</v>
      </c>
      <c r="I30" s="44">
        <v>4854</v>
      </c>
      <c r="J30" s="44">
        <v>273052</v>
      </c>
      <c r="K30" s="44">
        <v>1900</v>
      </c>
      <c r="L30" s="44">
        <v>2627</v>
      </c>
      <c r="M30" s="44">
        <v>51.21</v>
      </c>
      <c r="N30" s="44">
        <v>50.5</v>
      </c>
      <c r="O30" s="44">
        <v>1366667</v>
      </c>
      <c r="P30" s="44">
        <v>5.37</v>
      </c>
      <c r="Q30" t="s">
        <v>378</v>
      </c>
      <c r="R30">
        <v>2013</v>
      </c>
      <c r="S30">
        <v>1</v>
      </c>
      <c r="T30" s="44">
        <v>167</v>
      </c>
      <c r="U30" s="44">
        <v>180</v>
      </c>
      <c r="V30" s="44">
        <v>3571141</v>
      </c>
      <c r="W30" s="44">
        <v>156539</v>
      </c>
      <c r="X30" s="44">
        <v>3727680</v>
      </c>
      <c r="Y30" s="44">
        <v>697344</v>
      </c>
      <c r="Z30" s="44">
        <v>45624</v>
      </c>
      <c r="AA30" s="44">
        <v>51.21</v>
      </c>
      <c r="AB30" s="44">
        <v>34.31</v>
      </c>
      <c r="AC30" s="44">
        <v>37272498</v>
      </c>
      <c r="AD30" s="44">
        <v>35136310.310000002</v>
      </c>
      <c r="AE30" s="44">
        <v>0.1118</v>
      </c>
      <c r="AF30" t="s">
        <v>378</v>
      </c>
      <c r="AG30">
        <v>2013</v>
      </c>
      <c r="AH30">
        <v>1</v>
      </c>
      <c r="AI30" s="44">
        <v>8941</v>
      </c>
      <c r="AJ30" s="44">
        <v>3.124E-3</v>
      </c>
      <c r="AK30" s="44">
        <v>3431615</v>
      </c>
      <c r="AL30" s="44">
        <v>3284427</v>
      </c>
      <c r="AM30" s="44">
        <v>308727</v>
      </c>
      <c r="AN30" s="44">
        <v>5.2999999999999999E-2</v>
      </c>
      <c r="AO30" s="44">
        <v>999.60379999999998</v>
      </c>
      <c r="AP30" s="44">
        <v>35136310.310000002</v>
      </c>
      <c r="AQ30" s="44">
        <v>37272498</v>
      </c>
      <c r="AR30" s="44">
        <v>2109476</v>
      </c>
      <c r="AS30" s="44">
        <v>30712538</v>
      </c>
      <c r="AT30" s="44">
        <v>9391</v>
      </c>
      <c r="AU30" s="44">
        <v>3623.92724054274</v>
      </c>
      <c r="AV30" s="44">
        <v>13526307</v>
      </c>
      <c r="AW30" s="44">
        <v>251805314</v>
      </c>
      <c r="AX30" t="s">
        <v>378</v>
      </c>
      <c r="AY30">
        <v>2013</v>
      </c>
      <c r="AZ30">
        <v>1</v>
      </c>
      <c r="BA30" s="44">
        <v>51.954999999999998</v>
      </c>
      <c r="BB30" s="44">
        <v>258</v>
      </c>
      <c r="BC30" s="44">
        <v>287.44</v>
      </c>
      <c r="BD30" s="44">
        <v>450</v>
      </c>
      <c r="BE30" s="44">
        <v>16879381</v>
      </c>
      <c r="BF30" s="44">
        <v>18736112</v>
      </c>
      <c r="BG30" s="44">
        <v>3211500</v>
      </c>
      <c r="BH30" s="44">
        <v>56000</v>
      </c>
      <c r="BI30" s="44">
        <v>287600</v>
      </c>
      <c r="BJ30" s="44">
        <v>4800</v>
      </c>
      <c r="BK30" s="44">
        <v>12189</v>
      </c>
      <c r="BL30" s="44">
        <v>59.67</v>
      </c>
      <c r="BM30" s="44">
        <v>72.37</v>
      </c>
      <c r="BN30" s="44">
        <v>383</v>
      </c>
      <c r="BO30" s="44">
        <v>69</v>
      </c>
      <c r="BP30" t="s">
        <v>378</v>
      </c>
      <c r="BQ30">
        <v>2013</v>
      </c>
      <c r="BR30">
        <v>1</v>
      </c>
      <c r="BS30" s="44">
        <v>452</v>
      </c>
      <c r="BT30" s="44">
        <v>93.9</v>
      </c>
      <c r="BU30" s="44">
        <v>3623</v>
      </c>
      <c r="BV30" s="44">
        <v>33383.660000000003</v>
      </c>
      <c r="BW30" s="47">
        <v>2730.52</v>
      </c>
      <c r="BX30" s="47">
        <v>101.58</v>
      </c>
      <c r="BY30" s="47">
        <v>863.82</v>
      </c>
      <c r="BZ30" s="47">
        <v>79.180000000000007</v>
      </c>
      <c r="CA30" s="47">
        <v>4198</v>
      </c>
      <c r="CB30" s="47">
        <v>67.17</v>
      </c>
      <c r="CC30" s="47">
        <v>18</v>
      </c>
      <c r="CD30" s="47">
        <v>85.17</v>
      </c>
      <c r="CE30" s="44">
        <v>71.719999999999899</v>
      </c>
    </row>
    <row r="31" spans="1:83" ht="15.5" x14ac:dyDescent="0.35">
      <c r="C31">
        <v>2</v>
      </c>
      <c r="D31" s="44">
        <v>687034</v>
      </c>
      <c r="E31" s="44">
        <v>4780.5</v>
      </c>
      <c r="F31" s="44">
        <v>4851.5775000000003</v>
      </c>
      <c r="G31" s="44">
        <v>5278</v>
      </c>
      <c r="H31" s="44">
        <v>3963</v>
      </c>
      <c r="I31" s="44">
        <v>5019</v>
      </c>
      <c r="J31" s="44">
        <v>272409</v>
      </c>
      <c r="K31" s="44">
        <v>1925</v>
      </c>
      <c r="L31" s="44">
        <v>2387.5</v>
      </c>
      <c r="M31" s="44">
        <v>51.394999999999996</v>
      </c>
      <c r="N31" s="44">
        <v>49.685000000000002</v>
      </c>
      <c r="O31" s="44">
        <v>1441667</v>
      </c>
      <c r="P31" s="44">
        <v>5.79</v>
      </c>
      <c r="S31">
        <v>2</v>
      </c>
      <c r="T31" s="44">
        <v>159</v>
      </c>
      <c r="U31" s="44">
        <v>167.5</v>
      </c>
      <c r="V31" s="44">
        <v>3530828.5</v>
      </c>
      <c r="W31" s="44">
        <v>148531</v>
      </c>
      <c r="X31" s="44">
        <v>3679359.5</v>
      </c>
      <c r="Y31" s="44">
        <v>687034</v>
      </c>
      <c r="Z31" s="44">
        <v>43109</v>
      </c>
      <c r="AA31" s="44">
        <v>51.394999999999996</v>
      </c>
      <c r="AB31" s="44">
        <v>34.465000000000003</v>
      </c>
      <c r="AC31" s="44">
        <v>36791446</v>
      </c>
      <c r="AD31" s="44">
        <v>34706661.120000005</v>
      </c>
      <c r="AE31" s="44">
        <v>0.11274999999999999</v>
      </c>
      <c r="AH31">
        <v>2</v>
      </c>
      <c r="AI31" s="44">
        <v>9289.5</v>
      </c>
      <c r="AJ31" s="44">
        <v>3.1129499999999997E-3</v>
      </c>
      <c r="AK31" s="44">
        <v>3103242</v>
      </c>
      <c r="AL31" s="44">
        <v>2743681</v>
      </c>
      <c r="AM31" s="44">
        <v>291862</v>
      </c>
      <c r="AN31" s="44">
        <v>5.45E-2</v>
      </c>
      <c r="AO31" s="44">
        <v>1047.7221999999999</v>
      </c>
      <c r="AP31" s="44">
        <v>34706661.120000005</v>
      </c>
      <c r="AQ31" s="44">
        <v>36791446</v>
      </c>
      <c r="AR31" s="44">
        <v>1864653.5</v>
      </c>
      <c r="AS31" s="44">
        <v>32077205</v>
      </c>
      <c r="AT31" s="44">
        <v>9749.5</v>
      </c>
      <c r="AU31" s="44">
        <v>3557.7823658986163</v>
      </c>
      <c r="AV31" s="44">
        <v>13590250</v>
      </c>
      <c r="AW31" s="44">
        <v>253466695</v>
      </c>
      <c r="AZ31">
        <v>2</v>
      </c>
      <c r="BA31" s="44">
        <v>52.295000000000002</v>
      </c>
      <c r="BB31" s="44">
        <v>263.5</v>
      </c>
      <c r="BC31" s="44">
        <v>231.245</v>
      </c>
      <c r="BD31" s="44">
        <v>460</v>
      </c>
      <c r="BE31" s="44">
        <v>16928809.5</v>
      </c>
      <c r="BF31" s="44">
        <v>18035446</v>
      </c>
      <c r="BG31" s="44">
        <v>3221500</v>
      </c>
      <c r="BH31" s="44">
        <v>65000</v>
      </c>
      <c r="BI31" s="44">
        <v>318128</v>
      </c>
      <c r="BJ31" s="44">
        <v>5250</v>
      </c>
      <c r="BK31" s="44">
        <v>12314.5</v>
      </c>
      <c r="BL31" s="44">
        <v>57.46</v>
      </c>
      <c r="BM31" s="44">
        <v>73.37</v>
      </c>
      <c r="BN31" s="44">
        <v>416</v>
      </c>
      <c r="BO31" s="44">
        <v>79</v>
      </c>
      <c r="BR31">
        <v>2</v>
      </c>
      <c r="BS31" s="44">
        <v>495</v>
      </c>
      <c r="BT31" s="44">
        <v>93.974999999999994</v>
      </c>
      <c r="BU31" s="44">
        <v>3557</v>
      </c>
      <c r="BV31" s="44">
        <v>35052.845000000001</v>
      </c>
      <c r="BW31" s="44">
        <v>2724.09</v>
      </c>
      <c r="BX31" s="44">
        <v>103.55</v>
      </c>
      <c r="BY31" s="44">
        <v>873.87</v>
      </c>
      <c r="BZ31" s="44">
        <v>79.405000000000001</v>
      </c>
      <c r="CA31" s="44">
        <v>4217.5</v>
      </c>
      <c r="CB31" s="44">
        <v>67.045000000000002</v>
      </c>
      <c r="CC31" s="44">
        <v>18</v>
      </c>
      <c r="CD31" s="44">
        <v>85.045000000000002</v>
      </c>
      <c r="CE31" s="44">
        <v>71.87999999999991</v>
      </c>
    </row>
    <row r="32" spans="1:83" ht="15.5" x14ac:dyDescent="0.35">
      <c r="A32" t="s">
        <v>386</v>
      </c>
      <c r="B32">
        <v>2014</v>
      </c>
      <c r="C32">
        <v>1</v>
      </c>
      <c r="D32" s="44">
        <v>676724</v>
      </c>
      <c r="E32" s="44">
        <v>4938</v>
      </c>
      <c r="F32" s="44">
        <v>4992.3180000000002</v>
      </c>
      <c r="G32" s="44">
        <v>5328</v>
      </c>
      <c r="H32" s="44">
        <v>4097</v>
      </c>
      <c r="I32" s="44">
        <v>5184</v>
      </c>
      <c r="J32" s="44">
        <v>271766</v>
      </c>
      <c r="K32" s="44">
        <v>1950</v>
      </c>
      <c r="L32" s="44">
        <v>2148</v>
      </c>
      <c r="M32" s="44">
        <v>51.58</v>
      </c>
      <c r="N32" s="44">
        <v>48.87</v>
      </c>
      <c r="O32" s="44">
        <v>1516667</v>
      </c>
      <c r="P32" s="44">
        <v>6.21</v>
      </c>
      <c r="Q32" t="s">
        <v>386</v>
      </c>
      <c r="R32">
        <v>2014</v>
      </c>
      <c r="S32">
        <v>1</v>
      </c>
      <c r="T32" s="44">
        <v>151</v>
      </c>
      <c r="U32" s="44">
        <v>155</v>
      </c>
      <c r="V32" s="44">
        <v>3490516</v>
      </c>
      <c r="W32" s="44">
        <v>140523</v>
      </c>
      <c r="X32" s="44">
        <v>3631039</v>
      </c>
      <c r="Y32" s="44">
        <v>676724</v>
      </c>
      <c r="Z32" s="44">
        <v>40594</v>
      </c>
      <c r="AA32" s="44">
        <v>51.58</v>
      </c>
      <c r="AB32" s="44">
        <v>34.619999999999997</v>
      </c>
      <c r="AC32" s="44">
        <v>36310394</v>
      </c>
      <c r="AD32" s="44">
        <v>34277011.93</v>
      </c>
      <c r="AE32" s="44">
        <v>0.1137</v>
      </c>
      <c r="AF32" t="s">
        <v>386</v>
      </c>
      <c r="AG32">
        <v>2014</v>
      </c>
      <c r="AH32">
        <v>1</v>
      </c>
      <c r="AI32" s="44">
        <v>9638</v>
      </c>
      <c r="AJ32" s="44">
        <v>3.1018999999999999E-3</v>
      </c>
      <c r="AK32" s="44">
        <v>2774869</v>
      </c>
      <c r="AL32" s="44">
        <v>2202935</v>
      </c>
      <c r="AM32" s="44">
        <v>274997</v>
      </c>
      <c r="AN32" s="44">
        <v>5.6000000000000001E-2</v>
      </c>
      <c r="AO32" s="44">
        <v>1095.8406</v>
      </c>
      <c r="AP32" s="44">
        <v>34277011.93</v>
      </c>
      <c r="AQ32" s="44">
        <v>36310394</v>
      </c>
      <c r="AR32" s="44">
        <v>1619831</v>
      </c>
      <c r="AS32" s="44">
        <v>33441872</v>
      </c>
      <c r="AT32" s="44">
        <v>10108</v>
      </c>
      <c r="AU32" s="44">
        <v>3491.637491254492</v>
      </c>
      <c r="AV32" s="44">
        <v>13626307</v>
      </c>
      <c r="AW32" s="44">
        <v>255128076</v>
      </c>
      <c r="AX32" t="s">
        <v>386</v>
      </c>
      <c r="AY32">
        <v>2014</v>
      </c>
      <c r="AZ32">
        <v>1</v>
      </c>
      <c r="BA32" s="44">
        <v>52.634999999999998</v>
      </c>
      <c r="BB32" s="44">
        <v>269</v>
      </c>
      <c r="BC32" s="44">
        <v>175.05</v>
      </c>
      <c r="BD32" s="44">
        <v>470</v>
      </c>
      <c r="BE32" s="44">
        <v>16978238</v>
      </c>
      <c r="BF32" s="44">
        <v>17334780</v>
      </c>
      <c r="BG32" s="44">
        <v>3231500</v>
      </c>
      <c r="BH32" s="44">
        <v>74000</v>
      </c>
      <c r="BI32" s="44">
        <v>348656</v>
      </c>
      <c r="BJ32" s="44">
        <v>5700</v>
      </c>
      <c r="BK32" s="44">
        <v>12440</v>
      </c>
      <c r="BL32" s="44">
        <v>55.25</v>
      </c>
      <c r="BM32" s="44">
        <v>74.37</v>
      </c>
      <c r="BN32" s="44">
        <v>449</v>
      </c>
      <c r="BO32" s="44">
        <v>89</v>
      </c>
      <c r="BP32" t="s">
        <v>386</v>
      </c>
      <c r="BQ32">
        <v>2014</v>
      </c>
      <c r="BR32">
        <v>1</v>
      </c>
      <c r="BS32" s="44">
        <v>538</v>
      </c>
      <c r="BT32" s="44">
        <v>94.05</v>
      </c>
      <c r="BU32" s="44">
        <v>3491</v>
      </c>
      <c r="BV32" s="44">
        <v>36722.03</v>
      </c>
      <c r="BW32" s="47">
        <v>2717.66</v>
      </c>
      <c r="BX32" s="47">
        <v>105.52</v>
      </c>
      <c r="BY32" s="47">
        <v>883.92</v>
      </c>
      <c r="BZ32" s="47">
        <v>79.63</v>
      </c>
      <c r="CA32" s="47">
        <v>4237</v>
      </c>
      <c r="CB32" s="47">
        <v>66.92</v>
      </c>
      <c r="CC32" s="47">
        <v>18</v>
      </c>
      <c r="CD32" s="47">
        <v>84.92</v>
      </c>
      <c r="CE32" s="44">
        <v>72.039999999999907</v>
      </c>
    </row>
    <row r="33" spans="1:83" ht="15.5" x14ac:dyDescent="0.35">
      <c r="C33">
        <v>2</v>
      </c>
      <c r="D33" s="44">
        <v>704267.5</v>
      </c>
      <c r="E33" s="44">
        <v>5050.5</v>
      </c>
      <c r="F33" s="44">
        <v>5131.8705</v>
      </c>
      <c r="G33" s="44">
        <v>5477.5</v>
      </c>
      <c r="H33" s="44">
        <v>4192.5</v>
      </c>
      <c r="I33" s="44">
        <v>5302.5</v>
      </c>
      <c r="J33" s="44">
        <v>267854.5</v>
      </c>
      <c r="K33" s="44">
        <v>1950</v>
      </c>
      <c r="L33" s="44">
        <v>1561.95</v>
      </c>
      <c r="M33" s="44">
        <v>52.224999999999994</v>
      </c>
      <c r="N33" s="44">
        <v>51.515000000000001</v>
      </c>
      <c r="O33" s="44">
        <v>1730000</v>
      </c>
      <c r="P33" s="44">
        <v>6.9700000000000006</v>
      </c>
      <c r="S33">
        <v>2</v>
      </c>
      <c r="T33" s="44">
        <v>137</v>
      </c>
      <c r="U33" s="44">
        <v>144.5</v>
      </c>
      <c r="V33" s="44">
        <v>3679698</v>
      </c>
      <c r="W33" s="44">
        <v>158236</v>
      </c>
      <c r="X33" s="44">
        <v>3837934</v>
      </c>
      <c r="Y33" s="44">
        <v>704267.5</v>
      </c>
      <c r="Z33" s="44">
        <v>45276</v>
      </c>
      <c r="AA33" s="44">
        <v>52.224999999999994</v>
      </c>
      <c r="AB33" s="44">
        <v>34.92</v>
      </c>
      <c r="AC33" s="44">
        <v>38379345.5</v>
      </c>
      <c r="AD33" s="44">
        <v>36493016.075000003</v>
      </c>
      <c r="AE33" s="44">
        <v>0.1152</v>
      </c>
      <c r="AH33">
        <v>2</v>
      </c>
      <c r="AI33" s="44">
        <v>10276.5</v>
      </c>
      <c r="AJ33" s="44">
        <v>3.0639500000000002E-3</v>
      </c>
      <c r="AK33" s="44">
        <v>2988445.5</v>
      </c>
      <c r="AL33" s="44">
        <v>2030705</v>
      </c>
      <c r="AM33" s="44">
        <v>460042</v>
      </c>
      <c r="AN33" s="44">
        <v>5.5E-2</v>
      </c>
      <c r="AO33" s="44">
        <v>1184.8105500000001</v>
      </c>
      <c r="AP33" s="44">
        <v>36493016.075000003</v>
      </c>
      <c r="AQ33" s="44">
        <v>38379345.5</v>
      </c>
      <c r="AR33" s="44">
        <v>1619830.5</v>
      </c>
      <c r="AS33" s="44">
        <v>34821548.5</v>
      </c>
      <c r="AT33" s="44">
        <v>10751.5</v>
      </c>
      <c r="AU33" s="44">
        <v>3411.6663029731908</v>
      </c>
      <c r="AV33" s="44">
        <v>13766851</v>
      </c>
      <c r="AW33" s="44">
        <v>256755666.5</v>
      </c>
      <c r="AZ33">
        <v>2</v>
      </c>
      <c r="BA33" s="44">
        <v>52.974000000000004</v>
      </c>
      <c r="BB33" s="44">
        <v>272</v>
      </c>
      <c r="BC33" s="44">
        <v>207.86500000000001</v>
      </c>
      <c r="BD33" s="44">
        <v>475</v>
      </c>
      <c r="BE33" s="44">
        <v>17128314.5</v>
      </c>
      <c r="BF33" s="44">
        <v>17583039.5</v>
      </c>
      <c r="BG33" s="44">
        <v>3528250</v>
      </c>
      <c r="BH33" s="44">
        <v>80500</v>
      </c>
      <c r="BI33" s="44">
        <v>315474</v>
      </c>
      <c r="BJ33" s="44">
        <v>6250</v>
      </c>
      <c r="BK33" s="44">
        <v>13117.5</v>
      </c>
      <c r="BL33" s="44">
        <v>58.44</v>
      </c>
      <c r="BM33" s="44">
        <v>75.819999999999993</v>
      </c>
      <c r="BN33" s="44">
        <v>445</v>
      </c>
      <c r="BO33" s="44">
        <v>99.5</v>
      </c>
      <c r="BR33">
        <v>2</v>
      </c>
      <c r="BS33" s="44">
        <v>544.5</v>
      </c>
      <c r="BT33" s="44">
        <v>93.83</v>
      </c>
      <c r="BU33" s="44">
        <v>3411</v>
      </c>
      <c r="BV33" s="44">
        <v>37089.25</v>
      </c>
      <c r="BW33" s="44">
        <v>2678.5450000000001</v>
      </c>
      <c r="BX33" s="44">
        <v>102.03999999999999</v>
      </c>
      <c r="BY33" s="44">
        <v>922.52499999999998</v>
      </c>
      <c r="BZ33" s="44">
        <v>79.449999999999989</v>
      </c>
      <c r="CA33" s="44">
        <v>4258</v>
      </c>
      <c r="CB33" s="44">
        <v>67.050000000000011</v>
      </c>
      <c r="CC33" s="44">
        <v>18</v>
      </c>
      <c r="CD33" s="44">
        <v>85.050000000000011</v>
      </c>
      <c r="CE33" s="44">
        <v>72.199999999999903</v>
      </c>
    </row>
    <row r="34" spans="1:83" ht="15.5" x14ac:dyDescent="0.35">
      <c r="A34" t="s">
        <v>380</v>
      </c>
      <c r="B34">
        <v>2015</v>
      </c>
      <c r="C34">
        <v>1</v>
      </c>
      <c r="D34" s="44">
        <v>731811</v>
      </c>
      <c r="E34" s="44">
        <v>5163</v>
      </c>
      <c r="F34" s="44">
        <v>5271.4229999999998</v>
      </c>
      <c r="G34" s="44">
        <v>5627</v>
      </c>
      <c r="H34" s="44">
        <v>4288</v>
      </c>
      <c r="I34" s="44">
        <v>5421</v>
      </c>
      <c r="J34" s="44">
        <v>263943</v>
      </c>
      <c r="K34" s="44">
        <v>1950</v>
      </c>
      <c r="L34" s="44">
        <v>975.9</v>
      </c>
      <c r="M34" s="44">
        <v>52.87</v>
      </c>
      <c r="N34" s="44">
        <v>54.16</v>
      </c>
      <c r="O34" s="44">
        <v>1943333</v>
      </c>
      <c r="P34" s="44">
        <v>7.73</v>
      </c>
      <c r="Q34" t="s">
        <v>380</v>
      </c>
      <c r="R34">
        <v>2015</v>
      </c>
      <c r="S34">
        <v>1</v>
      </c>
      <c r="T34" s="44">
        <v>123</v>
      </c>
      <c r="U34" s="44">
        <v>134</v>
      </c>
      <c r="V34" s="44">
        <v>3868880</v>
      </c>
      <c r="W34" s="44">
        <v>175949</v>
      </c>
      <c r="X34" s="44">
        <v>4044829</v>
      </c>
      <c r="Y34" s="44">
        <v>731811</v>
      </c>
      <c r="Z34" s="44">
        <v>49958</v>
      </c>
      <c r="AA34" s="44">
        <v>52.87</v>
      </c>
      <c r="AB34" s="44">
        <v>35.22</v>
      </c>
      <c r="AC34" s="44">
        <v>40448297</v>
      </c>
      <c r="AD34" s="44">
        <v>38709020.219999999</v>
      </c>
      <c r="AE34" s="44">
        <v>0.1167</v>
      </c>
      <c r="AF34" t="s">
        <v>380</v>
      </c>
      <c r="AG34">
        <v>2015</v>
      </c>
      <c r="AH34">
        <v>1</v>
      </c>
      <c r="AI34" s="44">
        <v>10915</v>
      </c>
      <c r="AJ34" s="44">
        <v>3.026E-3</v>
      </c>
      <c r="AK34" s="44">
        <v>3202022</v>
      </c>
      <c r="AL34" s="44">
        <v>1858475</v>
      </c>
      <c r="AM34" s="44">
        <v>645087</v>
      </c>
      <c r="AN34" s="44">
        <v>5.3999999999999999E-2</v>
      </c>
      <c r="AO34" s="44">
        <v>1273.7805000000001</v>
      </c>
      <c r="AP34" s="44">
        <v>38709020.219999999</v>
      </c>
      <c r="AQ34" s="44">
        <v>40448297</v>
      </c>
      <c r="AR34" s="44">
        <v>1619830</v>
      </c>
      <c r="AS34" s="44">
        <v>36201225</v>
      </c>
      <c r="AT34" s="44">
        <v>11395</v>
      </c>
      <c r="AU34" s="44">
        <v>3331.6951146918896</v>
      </c>
      <c r="AV34" s="44">
        <v>13937797</v>
      </c>
      <c r="AW34" s="44">
        <v>258383257</v>
      </c>
      <c r="AX34" t="s">
        <v>380</v>
      </c>
      <c r="AY34">
        <v>2015</v>
      </c>
      <c r="AZ34">
        <v>1</v>
      </c>
      <c r="BA34" s="44">
        <v>53.313000000000002</v>
      </c>
      <c r="BB34" s="44">
        <v>275</v>
      </c>
      <c r="BC34" s="44">
        <v>240.68</v>
      </c>
      <c r="BD34" s="44">
        <v>480</v>
      </c>
      <c r="BE34" s="44">
        <v>17278391</v>
      </c>
      <c r="BF34" s="44">
        <v>17831299</v>
      </c>
      <c r="BG34" s="44">
        <v>3825000</v>
      </c>
      <c r="BH34" s="44">
        <v>87000</v>
      </c>
      <c r="BI34" s="44">
        <v>282292</v>
      </c>
      <c r="BJ34" s="44">
        <v>6800</v>
      </c>
      <c r="BK34" s="44">
        <v>13795</v>
      </c>
      <c r="BL34" s="44">
        <v>61.63</v>
      </c>
      <c r="BM34" s="44">
        <v>77.27</v>
      </c>
      <c r="BN34" s="44">
        <v>441</v>
      </c>
      <c r="BO34" s="44">
        <v>110</v>
      </c>
      <c r="BP34" t="s">
        <v>380</v>
      </c>
      <c r="BQ34">
        <v>2015</v>
      </c>
      <c r="BR34">
        <v>1</v>
      </c>
      <c r="BS34" s="44">
        <v>551</v>
      </c>
      <c r="BT34" s="44">
        <v>93.61</v>
      </c>
      <c r="BU34" s="44">
        <v>3331</v>
      </c>
      <c r="BV34" s="44">
        <v>37456.47</v>
      </c>
      <c r="BW34" s="47">
        <v>2639.43</v>
      </c>
      <c r="BX34" s="47">
        <v>98.56</v>
      </c>
      <c r="BY34" s="47">
        <v>961.13</v>
      </c>
      <c r="BZ34" s="47">
        <v>79.27</v>
      </c>
      <c r="CA34" s="47">
        <v>4279</v>
      </c>
      <c r="CB34" s="47">
        <v>67.180000000000007</v>
      </c>
      <c r="CC34" s="47">
        <v>18</v>
      </c>
      <c r="CD34" s="47">
        <v>85.18</v>
      </c>
      <c r="CE34" s="44">
        <v>72.3599999999999</v>
      </c>
    </row>
    <row r="35" spans="1:83" ht="15.5" x14ac:dyDescent="0.35">
      <c r="C35">
        <v>2</v>
      </c>
      <c r="D35" s="44">
        <v>779253.4</v>
      </c>
      <c r="E35" s="44">
        <v>5244</v>
      </c>
      <c r="F35" s="44">
        <v>5433.9989999999998</v>
      </c>
      <c r="G35" s="44">
        <v>5875</v>
      </c>
      <c r="H35" s="44">
        <v>4357</v>
      </c>
      <c r="I35" s="44">
        <v>5506</v>
      </c>
      <c r="J35" s="44">
        <v>262706.5</v>
      </c>
      <c r="K35" s="44">
        <v>1975</v>
      </c>
      <c r="L35" s="44">
        <v>1424.45</v>
      </c>
      <c r="M35" s="44">
        <v>52.97</v>
      </c>
      <c r="N35" s="44">
        <v>52.76</v>
      </c>
      <c r="O35" s="44">
        <v>2008809.5</v>
      </c>
      <c r="P35" s="44">
        <v>8.129999999999999</v>
      </c>
      <c r="S35">
        <v>2</v>
      </c>
      <c r="T35" s="44">
        <v>122.5</v>
      </c>
      <c r="U35" s="44">
        <v>133</v>
      </c>
      <c r="V35" s="44">
        <v>4127957.95</v>
      </c>
      <c r="W35" s="44">
        <v>199352</v>
      </c>
      <c r="X35" s="44">
        <v>4327309.95</v>
      </c>
      <c r="Y35" s="44">
        <v>779253.4</v>
      </c>
      <c r="Z35" s="44">
        <v>54419.05</v>
      </c>
      <c r="AA35" s="44">
        <v>52.97</v>
      </c>
      <c r="AB35" s="44">
        <v>36.524999999999999</v>
      </c>
      <c r="AC35" s="44">
        <v>43815616</v>
      </c>
      <c r="AD35" s="44">
        <v>42214642.114999995</v>
      </c>
      <c r="AE35" s="44">
        <v>0.11615</v>
      </c>
      <c r="AH35">
        <v>2</v>
      </c>
      <c r="AI35" s="44">
        <v>11213</v>
      </c>
      <c r="AJ35" s="44">
        <v>3.0204000000000003E-3</v>
      </c>
      <c r="AK35" s="44">
        <v>2992174</v>
      </c>
      <c r="AL35" s="44">
        <v>2351914</v>
      </c>
      <c r="AM35" s="44">
        <v>596841</v>
      </c>
      <c r="AN35" s="44">
        <v>5.2000000000000005E-2</v>
      </c>
      <c r="AO35" s="44">
        <v>1302.22605</v>
      </c>
      <c r="AP35" s="44">
        <v>42214642.114999995</v>
      </c>
      <c r="AQ35" s="44">
        <v>43815616</v>
      </c>
      <c r="AR35" s="44">
        <v>1472271</v>
      </c>
      <c r="AS35" s="44">
        <v>37629629</v>
      </c>
      <c r="AT35" s="44">
        <v>11728</v>
      </c>
      <c r="AU35" s="44">
        <v>3447.2557241068621</v>
      </c>
      <c r="AV35" s="44">
        <v>13961441</v>
      </c>
      <c r="AW35" s="44">
        <v>259969821.5</v>
      </c>
      <c r="AZ35">
        <v>2</v>
      </c>
      <c r="BA35" s="44">
        <v>53.650999999999996</v>
      </c>
      <c r="BB35" s="44">
        <v>293</v>
      </c>
      <c r="BC35" s="44">
        <v>299.54500000000002</v>
      </c>
      <c r="BD35" s="44">
        <v>515</v>
      </c>
      <c r="BE35" s="44">
        <v>17478312.5</v>
      </c>
      <c r="BF35" s="44">
        <v>17569145</v>
      </c>
      <c r="BG35" s="44">
        <v>3837300</v>
      </c>
      <c r="BH35" s="44">
        <v>90000</v>
      </c>
      <c r="BI35" s="44">
        <v>327425</v>
      </c>
      <c r="BJ35" s="44">
        <v>6500</v>
      </c>
      <c r="BK35" s="44">
        <v>13615.5</v>
      </c>
      <c r="BL35" s="44">
        <v>60.269999999999996</v>
      </c>
      <c r="BM35" s="44">
        <v>77.28</v>
      </c>
      <c r="BN35" s="44">
        <v>437</v>
      </c>
      <c r="BO35" s="44">
        <v>108</v>
      </c>
      <c r="BR35">
        <v>2</v>
      </c>
      <c r="BS35" s="44">
        <v>545</v>
      </c>
      <c r="BT35" s="44">
        <v>93.555000000000007</v>
      </c>
      <c r="BU35" s="44">
        <v>3446.5</v>
      </c>
      <c r="BV35" s="44">
        <v>37860.33</v>
      </c>
      <c r="BW35" s="44">
        <v>2627.0650000000001</v>
      </c>
      <c r="BX35" s="44">
        <v>98.14</v>
      </c>
      <c r="BY35" s="44">
        <v>967.37</v>
      </c>
      <c r="BZ35" s="44">
        <v>79.314999999999998</v>
      </c>
      <c r="CA35" s="44">
        <v>4203.5</v>
      </c>
      <c r="CB35" s="44">
        <v>69.805000000000007</v>
      </c>
      <c r="CC35" s="44">
        <v>18.5</v>
      </c>
      <c r="CD35" s="44">
        <v>88.305000000000007</v>
      </c>
      <c r="CE35" s="44">
        <v>72.519999999999897</v>
      </c>
    </row>
    <row r="36" spans="1:83" ht="15.5" x14ac:dyDescent="0.35">
      <c r="A36" t="s">
        <v>379</v>
      </c>
      <c r="B36">
        <v>2016</v>
      </c>
      <c r="C36">
        <v>1</v>
      </c>
      <c r="D36" s="44">
        <v>826695.8</v>
      </c>
      <c r="E36" s="44">
        <v>5325</v>
      </c>
      <c r="F36" s="44">
        <v>5596.5749999999998</v>
      </c>
      <c r="G36" s="44">
        <v>6123</v>
      </c>
      <c r="H36" s="44">
        <v>4426</v>
      </c>
      <c r="I36" s="44">
        <v>5591</v>
      </c>
      <c r="J36" s="44">
        <v>261470</v>
      </c>
      <c r="K36" s="44">
        <v>2000</v>
      </c>
      <c r="L36" s="44">
        <v>1873</v>
      </c>
      <c r="M36" s="44">
        <v>53.07</v>
      </c>
      <c r="N36" s="44">
        <v>51.36</v>
      </c>
      <c r="O36" s="44">
        <v>2074286</v>
      </c>
      <c r="P36" s="44">
        <v>8.5299999999999994</v>
      </c>
      <c r="Q36" t="s">
        <v>379</v>
      </c>
      <c r="R36">
        <v>2016</v>
      </c>
      <c r="S36">
        <v>1</v>
      </c>
      <c r="T36" s="44">
        <v>122</v>
      </c>
      <c r="U36" s="44">
        <v>132</v>
      </c>
      <c r="V36" s="44">
        <v>4387035.9000000004</v>
      </c>
      <c r="W36" s="44">
        <v>222755</v>
      </c>
      <c r="X36" s="44">
        <v>4609790.9000000004</v>
      </c>
      <c r="Y36" s="44">
        <v>826695.8</v>
      </c>
      <c r="Z36" s="44">
        <v>58880.1</v>
      </c>
      <c r="AA36" s="44">
        <v>53.07</v>
      </c>
      <c r="AB36" s="44">
        <v>37.83</v>
      </c>
      <c r="AC36" s="44">
        <v>47182935</v>
      </c>
      <c r="AD36" s="44">
        <v>45720264.009999998</v>
      </c>
      <c r="AE36" s="44">
        <v>0.11559999999999999</v>
      </c>
      <c r="AF36" t="s">
        <v>379</v>
      </c>
      <c r="AG36">
        <v>2016</v>
      </c>
      <c r="AH36">
        <v>1</v>
      </c>
      <c r="AI36" s="44">
        <v>11511</v>
      </c>
      <c r="AJ36" s="44">
        <v>3.0148000000000002E-3</v>
      </c>
      <c r="AK36" s="44">
        <v>2782326</v>
      </c>
      <c r="AL36" s="44">
        <v>2845353</v>
      </c>
      <c r="AM36" s="44">
        <v>548595</v>
      </c>
      <c r="AN36" s="44">
        <v>0.05</v>
      </c>
      <c r="AO36" s="44">
        <v>1330.6715999999999</v>
      </c>
      <c r="AP36" s="44">
        <v>45720264.009999998</v>
      </c>
      <c r="AQ36" s="44">
        <v>47182935</v>
      </c>
      <c r="AR36" s="44">
        <v>1324712</v>
      </c>
      <c r="AS36" s="44">
        <v>39058033</v>
      </c>
      <c r="AT36" s="44">
        <v>12061</v>
      </c>
      <c r="AU36" s="44">
        <v>3562.8163335218346</v>
      </c>
      <c r="AV36" s="44">
        <v>14102911</v>
      </c>
      <c r="AW36" s="44">
        <v>261556386</v>
      </c>
      <c r="AX36" t="s">
        <v>379</v>
      </c>
      <c r="AY36">
        <v>2016</v>
      </c>
      <c r="AZ36">
        <v>1</v>
      </c>
      <c r="BA36" s="44">
        <v>53.988999999999997</v>
      </c>
      <c r="BB36" s="44">
        <v>311</v>
      </c>
      <c r="BC36" s="44">
        <v>358.41</v>
      </c>
      <c r="BD36" s="44">
        <v>550</v>
      </c>
      <c r="BE36" s="44">
        <v>17678234</v>
      </c>
      <c r="BF36" s="44">
        <v>17306991</v>
      </c>
      <c r="BG36" s="44">
        <v>3849600</v>
      </c>
      <c r="BH36" s="44">
        <v>93000</v>
      </c>
      <c r="BI36" s="44">
        <v>372558</v>
      </c>
      <c r="BJ36" s="44">
        <v>6200</v>
      </c>
      <c r="BK36" s="44">
        <v>13436</v>
      </c>
      <c r="BL36" s="44">
        <v>58.91</v>
      </c>
      <c r="BM36" s="44">
        <v>77.290000000000006</v>
      </c>
      <c r="BN36" s="44">
        <v>433</v>
      </c>
      <c r="BO36" s="44">
        <v>106</v>
      </c>
      <c r="BP36" t="s">
        <v>379</v>
      </c>
      <c r="BQ36">
        <v>2016</v>
      </c>
      <c r="BR36">
        <v>1</v>
      </c>
      <c r="BS36" s="44">
        <v>539</v>
      </c>
      <c r="BT36" s="44">
        <v>93.5</v>
      </c>
      <c r="BU36" s="44">
        <v>3562</v>
      </c>
      <c r="BV36" s="44">
        <v>38264.19</v>
      </c>
      <c r="BW36" s="47">
        <v>2614.7000000000003</v>
      </c>
      <c r="BX36" s="47">
        <v>97.72</v>
      </c>
      <c r="BY36" s="47">
        <v>973.61</v>
      </c>
      <c r="BZ36" s="47">
        <v>79.36</v>
      </c>
      <c r="CA36" s="47">
        <v>4128</v>
      </c>
      <c r="CB36" s="47">
        <v>72.430000000000007</v>
      </c>
      <c r="CC36" s="47">
        <v>19</v>
      </c>
      <c r="CD36" s="47">
        <v>91.43</v>
      </c>
      <c r="CE36" s="44">
        <v>72.679999999999893</v>
      </c>
    </row>
    <row r="37" spans="1:83" ht="15.5" x14ac:dyDescent="0.35">
      <c r="C37">
        <v>2</v>
      </c>
      <c r="D37" s="44">
        <v>845489.55</v>
      </c>
      <c r="E37" s="44">
        <v>5637</v>
      </c>
      <c r="F37" s="44">
        <v>5835.2520000000004</v>
      </c>
      <c r="G37" s="44">
        <v>6482</v>
      </c>
      <c r="H37" s="44">
        <v>4741</v>
      </c>
      <c r="I37" s="44">
        <v>5918.5</v>
      </c>
      <c r="J37" s="44">
        <v>260745.5</v>
      </c>
      <c r="K37" s="44">
        <v>2075</v>
      </c>
      <c r="L37" s="44">
        <v>1987.5</v>
      </c>
      <c r="M37" s="44">
        <v>53.55</v>
      </c>
      <c r="N37" s="44">
        <v>53.34</v>
      </c>
      <c r="O37" s="44">
        <v>2074286</v>
      </c>
      <c r="P37" s="44">
        <v>8.98</v>
      </c>
      <c r="S37">
        <v>2</v>
      </c>
      <c r="T37" s="44">
        <v>123.5</v>
      </c>
      <c r="U37" s="44">
        <v>134</v>
      </c>
      <c r="V37" s="44">
        <v>4528406.7</v>
      </c>
      <c r="W37" s="44">
        <v>344581.05</v>
      </c>
      <c r="X37" s="44">
        <v>4872987.75</v>
      </c>
      <c r="Y37" s="44">
        <v>845489.55</v>
      </c>
      <c r="Z37" s="44">
        <v>91332.4</v>
      </c>
      <c r="AA37" s="44">
        <v>53.55</v>
      </c>
      <c r="AB37" s="44">
        <v>37.754999999999995</v>
      </c>
      <c r="AC37" s="44">
        <v>53210616</v>
      </c>
      <c r="AD37" s="44">
        <v>51561086.899999999</v>
      </c>
      <c r="AE37" s="44">
        <v>0.1164</v>
      </c>
      <c r="AH37">
        <v>2</v>
      </c>
      <c r="AI37" s="44">
        <v>11523</v>
      </c>
      <c r="AJ37" s="44">
        <v>2.9878999999999999E-3</v>
      </c>
      <c r="AK37" s="44">
        <v>2662365.5</v>
      </c>
      <c r="AL37" s="44">
        <v>3085537.5</v>
      </c>
      <c r="AM37" s="44">
        <v>1017111</v>
      </c>
      <c r="AN37" s="44">
        <v>5.4000000000000006E-2</v>
      </c>
      <c r="AO37" s="44">
        <v>1341.2867999999999</v>
      </c>
      <c r="AP37" s="44">
        <v>51561086.899999999</v>
      </c>
      <c r="AQ37" s="44">
        <v>53210616</v>
      </c>
      <c r="AR37" s="44">
        <v>1471453</v>
      </c>
      <c r="AS37" s="44">
        <v>43875956.5</v>
      </c>
      <c r="AT37" s="44">
        <v>12123</v>
      </c>
      <c r="AU37" s="44">
        <v>3700.1971785740816</v>
      </c>
      <c r="AV37" s="44">
        <v>14136770</v>
      </c>
      <c r="AW37" s="44">
        <v>263103677.5</v>
      </c>
      <c r="AZ37">
        <v>2</v>
      </c>
      <c r="BA37" s="44">
        <v>54.323999999999998</v>
      </c>
      <c r="BB37" s="44">
        <v>336.5</v>
      </c>
      <c r="BC37" s="44">
        <v>364.04500000000002</v>
      </c>
      <c r="BD37" s="44">
        <v>600</v>
      </c>
      <c r="BE37" s="44">
        <v>17917478.5</v>
      </c>
      <c r="BF37" s="44">
        <v>18439969</v>
      </c>
      <c r="BG37" s="44">
        <v>4094850</v>
      </c>
      <c r="BH37" s="44">
        <v>99000</v>
      </c>
      <c r="BI37" s="44">
        <v>348280.5</v>
      </c>
      <c r="BJ37" s="44">
        <v>6250</v>
      </c>
      <c r="BK37" s="44">
        <v>13492</v>
      </c>
      <c r="BL37" s="44">
        <v>63.059999999999995</v>
      </c>
      <c r="BM37" s="44">
        <v>77.355000000000004</v>
      </c>
      <c r="BN37" s="44">
        <v>429</v>
      </c>
      <c r="BO37" s="44">
        <v>107.5</v>
      </c>
      <c r="BR37">
        <v>2</v>
      </c>
      <c r="BS37" s="44">
        <v>536.5</v>
      </c>
      <c r="BT37" s="44">
        <v>93.545000000000002</v>
      </c>
      <c r="BU37" s="44">
        <v>3699.5</v>
      </c>
      <c r="BV37" s="44">
        <v>38073.449999999997</v>
      </c>
      <c r="BW37" s="44">
        <v>2607.4549999999999</v>
      </c>
      <c r="BX37" s="44">
        <v>100.35</v>
      </c>
      <c r="BY37" s="44">
        <v>974.62</v>
      </c>
      <c r="BZ37" s="44">
        <v>79.63</v>
      </c>
      <c r="CA37" s="44">
        <v>4195.5</v>
      </c>
      <c r="CB37" s="44">
        <v>72.495000000000005</v>
      </c>
      <c r="CC37" s="44">
        <v>19</v>
      </c>
      <c r="CD37" s="44">
        <v>91.495000000000005</v>
      </c>
      <c r="CE37" s="44">
        <v>72.83999999999989</v>
      </c>
    </row>
    <row r="38" spans="1:83" ht="15.5" x14ac:dyDescent="0.35">
      <c r="A38" t="s">
        <v>377</v>
      </c>
      <c r="B38">
        <v>2017</v>
      </c>
      <c r="C38">
        <v>1</v>
      </c>
      <c r="D38" s="44">
        <v>864283.3</v>
      </c>
      <c r="E38" s="44">
        <v>5949</v>
      </c>
      <c r="F38" s="44">
        <v>6073.9290000000001</v>
      </c>
      <c r="G38" s="44">
        <v>6841</v>
      </c>
      <c r="H38" s="44">
        <v>5056</v>
      </c>
      <c r="I38" s="44">
        <v>6246</v>
      </c>
      <c r="J38" s="44">
        <v>260021</v>
      </c>
      <c r="K38" s="44">
        <v>2150</v>
      </c>
      <c r="L38" s="44">
        <v>2102</v>
      </c>
      <c r="M38" s="44">
        <v>54.03</v>
      </c>
      <c r="N38" s="44">
        <v>55.32</v>
      </c>
      <c r="O38" s="44">
        <v>2074286</v>
      </c>
      <c r="P38" s="44">
        <v>9.43</v>
      </c>
      <c r="Q38" t="s">
        <v>377</v>
      </c>
      <c r="R38">
        <v>2017</v>
      </c>
      <c r="S38">
        <v>1</v>
      </c>
      <c r="T38" s="44">
        <v>125</v>
      </c>
      <c r="U38" s="44">
        <v>136</v>
      </c>
      <c r="V38" s="44">
        <v>4669777.5</v>
      </c>
      <c r="W38" s="44">
        <v>466407.1</v>
      </c>
      <c r="X38" s="44">
        <v>5136184.5999999996</v>
      </c>
      <c r="Y38" s="44">
        <v>864283.3</v>
      </c>
      <c r="Z38" s="44">
        <v>123784.7</v>
      </c>
      <c r="AA38" s="44">
        <v>54.03</v>
      </c>
      <c r="AB38" s="44">
        <v>37.68</v>
      </c>
      <c r="AC38" s="44">
        <v>59238297</v>
      </c>
      <c r="AD38" s="44">
        <v>57401909.789999999</v>
      </c>
      <c r="AE38" s="44">
        <v>0.1172</v>
      </c>
      <c r="AF38" t="s">
        <v>377</v>
      </c>
      <c r="AG38">
        <v>2017</v>
      </c>
      <c r="AH38">
        <v>1</v>
      </c>
      <c r="AI38" s="44">
        <v>11535</v>
      </c>
      <c r="AJ38" s="44">
        <v>2.9610000000000001E-3</v>
      </c>
      <c r="AK38" s="44">
        <v>2542405</v>
      </c>
      <c r="AL38" s="44">
        <v>3325722</v>
      </c>
      <c r="AM38" s="44">
        <v>1485627</v>
      </c>
      <c r="AN38" s="44">
        <v>5.8000000000000003E-2</v>
      </c>
      <c r="AO38" s="44">
        <v>1351.902</v>
      </c>
      <c r="AP38" s="44">
        <v>57401909.789999999</v>
      </c>
      <c r="AQ38" s="44">
        <v>59238297</v>
      </c>
      <c r="AR38" s="44">
        <v>1618194</v>
      </c>
      <c r="AS38" s="44">
        <v>48693880</v>
      </c>
      <c r="AT38" s="44">
        <v>12185</v>
      </c>
      <c r="AU38" s="44">
        <v>3837.5780236263286</v>
      </c>
      <c r="AV38" s="44">
        <v>14262147</v>
      </c>
      <c r="AW38" s="44">
        <v>264650969</v>
      </c>
      <c r="AX38" t="s">
        <v>377</v>
      </c>
      <c r="AY38">
        <v>2017</v>
      </c>
      <c r="AZ38">
        <v>1</v>
      </c>
      <c r="BA38" s="44">
        <v>54.658999999999999</v>
      </c>
      <c r="BB38" s="44">
        <v>362</v>
      </c>
      <c r="BC38" s="44">
        <v>369.68</v>
      </c>
      <c r="BD38" s="44">
        <v>650</v>
      </c>
      <c r="BE38" s="44">
        <v>18156723</v>
      </c>
      <c r="BF38" s="44">
        <v>19572947</v>
      </c>
      <c r="BG38" s="44">
        <v>4340100</v>
      </c>
      <c r="BH38" s="44">
        <v>105000</v>
      </c>
      <c r="BI38" s="44">
        <v>324003</v>
      </c>
      <c r="BJ38" s="44">
        <v>6300</v>
      </c>
      <c r="BK38" s="44">
        <v>13548</v>
      </c>
      <c r="BL38" s="44">
        <v>67.209999999999994</v>
      </c>
      <c r="BM38" s="44">
        <v>77.42</v>
      </c>
      <c r="BN38" s="44">
        <v>425</v>
      </c>
      <c r="BO38" s="44">
        <v>109</v>
      </c>
      <c r="BP38" t="s">
        <v>377</v>
      </c>
      <c r="BQ38">
        <v>2017</v>
      </c>
      <c r="BR38">
        <v>1</v>
      </c>
      <c r="BS38" s="44">
        <v>534</v>
      </c>
      <c r="BT38" s="44">
        <v>93.59</v>
      </c>
      <c r="BU38" s="44">
        <v>3837</v>
      </c>
      <c r="BV38" s="44">
        <v>37882.71</v>
      </c>
      <c r="BW38" s="47">
        <v>2600.21</v>
      </c>
      <c r="BX38" s="47">
        <v>102.98</v>
      </c>
      <c r="BY38" s="47">
        <v>975.63</v>
      </c>
      <c r="BZ38" s="47">
        <v>79.900000000000006</v>
      </c>
      <c r="CA38" s="47">
        <v>4263</v>
      </c>
      <c r="CB38" s="47">
        <v>72.56</v>
      </c>
      <c r="CC38" s="47">
        <v>19</v>
      </c>
      <c r="CD38" s="47">
        <v>91.56</v>
      </c>
      <c r="CE38" s="44">
        <v>72.999999999999901</v>
      </c>
    </row>
    <row r="39" spans="1:83" ht="15.5" x14ac:dyDescent="0.35">
      <c r="C39">
        <v>2</v>
      </c>
      <c r="D39" s="44">
        <v>879216.7</v>
      </c>
      <c r="E39" s="44">
        <v>5806</v>
      </c>
      <c r="F39" s="44">
        <v>6097.8160000000007</v>
      </c>
      <c r="G39" s="44">
        <v>6676.5</v>
      </c>
      <c r="H39" s="44">
        <v>4934.5</v>
      </c>
      <c r="I39" s="44">
        <v>6096</v>
      </c>
      <c r="J39" s="44">
        <v>212288.5</v>
      </c>
      <c r="K39" s="44">
        <v>2175</v>
      </c>
      <c r="L39" s="44">
        <v>2115.5</v>
      </c>
      <c r="M39" s="44">
        <v>53.1</v>
      </c>
      <c r="N39" s="44">
        <v>53.39</v>
      </c>
      <c r="O39" s="44">
        <v>2205893</v>
      </c>
      <c r="P39" s="44">
        <v>9.8350000000000009</v>
      </c>
      <c r="S39">
        <v>2</v>
      </c>
      <c r="T39" s="44">
        <v>130</v>
      </c>
      <c r="U39" s="44">
        <v>137.5</v>
      </c>
      <c r="V39" s="44">
        <v>4667321.5549999997</v>
      </c>
      <c r="W39" s="44">
        <v>633379.97</v>
      </c>
      <c r="X39" s="44">
        <v>5300701.5250000004</v>
      </c>
      <c r="Y39" s="44">
        <v>879216.7</v>
      </c>
      <c r="Z39" s="44">
        <v>177565.1</v>
      </c>
      <c r="AA39" s="44">
        <v>53.1</v>
      </c>
      <c r="AB39" s="44">
        <v>36.14</v>
      </c>
      <c r="AC39" s="44">
        <v>59219416.859999999</v>
      </c>
      <c r="AD39" s="44">
        <v>57383614.935000002</v>
      </c>
      <c r="AE39" s="44">
        <v>0.11975</v>
      </c>
      <c r="AH39">
        <v>2</v>
      </c>
      <c r="AI39" s="44">
        <v>11794.5</v>
      </c>
      <c r="AJ39" s="44">
        <v>3.0138999999999999E-3</v>
      </c>
      <c r="AK39" s="44">
        <v>1874837</v>
      </c>
      <c r="AL39" s="44">
        <v>2365280.5</v>
      </c>
      <c r="AM39" s="44">
        <v>1636463.5</v>
      </c>
      <c r="AN39" s="44">
        <v>5.7500000000000002E-2</v>
      </c>
      <c r="AO39" s="44">
        <v>1413.0531000000001</v>
      </c>
      <c r="AP39" s="44">
        <v>57383614.935000002</v>
      </c>
      <c r="AQ39" s="44">
        <v>59219416.859999999</v>
      </c>
      <c r="AR39" s="44">
        <v>1281863</v>
      </c>
      <c r="AS39" s="44">
        <v>51786388.5</v>
      </c>
      <c r="AT39" s="44">
        <v>12494.5</v>
      </c>
      <c r="AU39" s="44">
        <v>3865.7188008875492</v>
      </c>
      <c r="AV39" s="44">
        <v>14308352</v>
      </c>
      <c r="AW39" s="44">
        <v>266160759</v>
      </c>
      <c r="AZ39">
        <v>2</v>
      </c>
      <c r="BA39" s="44">
        <v>54.992000000000004</v>
      </c>
      <c r="BB39" s="44">
        <v>387.5</v>
      </c>
      <c r="BC39" s="44">
        <v>369.815</v>
      </c>
      <c r="BD39" s="44">
        <v>700</v>
      </c>
      <c r="BE39" s="44">
        <v>18462329</v>
      </c>
      <c r="BF39" s="44">
        <v>19902390</v>
      </c>
      <c r="BG39" s="44">
        <v>4398650</v>
      </c>
      <c r="BH39" s="44">
        <v>116500</v>
      </c>
      <c r="BI39" s="44">
        <v>318362.5</v>
      </c>
      <c r="BJ39" s="44">
        <v>6350</v>
      </c>
      <c r="BK39" s="44">
        <v>14014.5</v>
      </c>
      <c r="BL39" s="44">
        <v>68.509999999999991</v>
      </c>
      <c r="BM39" s="44">
        <v>77.414999999999992</v>
      </c>
      <c r="BN39" s="44">
        <v>421</v>
      </c>
      <c r="BO39" s="44">
        <v>103.5</v>
      </c>
      <c r="BR39">
        <v>2</v>
      </c>
      <c r="BS39" s="44">
        <v>524.5</v>
      </c>
      <c r="BT39" s="44">
        <v>93.990000000000009</v>
      </c>
      <c r="BU39" s="44">
        <v>3865</v>
      </c>
      <c r="BV39" s="44">
        <v>37753.399999999994</v>
      </c>
      <c r="BW39" s="44">
        <v>2122.8850000000002</v>
      </c>
      <c r="BX39" s="44">
        <v>106.17</v>
      </c>
      <c r="BY39" s="44">
        <v>975.79500000000007</v>
      </c>
      <c r="BZ39" s="44">
        <v>79.944999999999993</v>
      </c>
      <c r="CA39" s="44">
        <v>4297</v>
      </c>
      <c r="CB39" s="44">
        <v>73.58</v>
      </c>
      <c r="CC39" s="44">
        <v>19</v>
      </c>
      <c r="CD39" s="44">
        <v>92.58</v>
      </c>
      <c r="CE39" s="44">
        <v>73.159999999999897</v>
      </c>
    </row>
    <row r="40" spans="1:83" ht="15.5" x14ac:dyDescent="0.35">
      <c r="A40" t="s">
        <v>387</v>
      </c>
      <c r="B40">
        <v>2018</v>
      </c>
      <c r="C40">
        <v>1</v>
      </c>
      <c r="D40" s="44">
        <v>894150.1</v>
      </c>
      <c r="E40" s="44">
        <v>5663</v>
      </c>
      <c r="F40" s="44">
        <v>6121.7030000000004</v>
      </c>
      <c r="G40" s="44">
        <v>6512</v>
      </c>
      <c r="H40" s="44">
        <v>4813</v>
      </c>
      <c r="I40" s="44">
        <v>5946</v>
      </c>
      <c r="J40" s="44">
        <v>164556</v>
      </c>
      <c r="K40" s="44">
        <v>2200</v>
      </c>
      <c r="L40" s="44">
        <v>2129</v>
      </c>
      <c r="M40" s="44">
        <v>52.17</v>
      </c>
      <c r="N40" s="44">
        <v>51.46</v>
      </c>
      <c r="O40" s="44">
        <v>2337500</v>
      </c>
      <c r="P40" s="44">
        <v>10.24</v>
      </c>
      <c r="Q40" t="s">
        <v>387</v>
      </c>
      <c r="R40">
        <v>2018</v>
      </c>
      <c r="S40">
        <v>1</v>
      </c>
      <c r="T40" s="44">
        <v>135</v>
      </c>
      <c r="U40" s="44">
        <v>139</v>
      </c>
      <c r="V40" s="44">
        <v>4664865.6100000003</v>
      </c>
      <c r="W40" s="44">
        <v>800352.84</v>
      </c>
      <c r="X40" s="44">
        <v>5465218.4500000002</v>
      </c>
      <c r="Y40" s="44">
        <v>894150.1</v>
      </c>
      <c r="Z40" s="44">
        <v>231345.5</v>
      </c>
      <c r="AA40" s="44">
        <v>52.17</v>
      </c>
      <c r="AB40" s="44">
        <v>34.6</v>
      </c>
      <c r="AC40" s="44">
        <v>59200536.719999999</v>
      </c>
      <c r="AD40" s="44">
        <v>57365320.079999998</v>
      </c>
      <c r="AE40" s="44">
        <v>0.12230000000000001</v>
      </c>
      <c r="AF40" t="s">
        <v>387</v>
      </c>
      <c r="AG40">
        <v>2018</v>
      </c>
      <c r="AH40">
        <v>1</v>
      </c>
      <c r="AI40" s="44">
        <v>12054</v>
      </c>
      <c r="AJ40" s="44">
        <v>3.0668000000000002E-3</v>
      </c>
      <c r="AK40" s="44">
        <v>1207269</v>
      </c>
      <c r="AL40" s="44">
        <v>1404839</v>
      </c>
      <c r="AM40" s="44">
        <v>1787300</v>
      </c>
      <c r="AN40" s="44">
        <v>5.7000000000000002E-2</v>
      </c>
      <c r="AO40" s="44">
        <v>1474.2042000000001</v>
      </c>
      <c r="AP40" s="44">
        <v>57365320.079999998</v>
      </c>
      <c r="AQ40" s="44">
        <v>59200536.719999999</v>
      </c>
      <c r="AR40" s="44">
        <v>945532</v>
      </c>
      <c r="AS40" s="44">
        <v>54878897</v>
      </c>
      <c r="AT40" s="44">
        <v>12804</v>
      </c>
      <c r="AU40" s="44">
        <v>3893.8595781487702</v>
      </c>
      <c r="AV40" s="44">
        <v>14415391</v>
      </c>
      <c r="AW40" s="44">
        <v>267670549</v>
      </c>
      <c r="AX40" t="s">
        <v>387</v>
      </c>
      <c r="AY40">
        <v>2018</v>
      </c>
      <c r="AZ40">
        <v>1</v>
      </c>
      <c r="BA40" s="44">
        <v>55.325000000000003</v>
      </c>
      <c r="BB40" s="44">
        <v>413</v>
      </c>
      <c r="BC40" s="44">
        <v>369.95</v>
      </c>
      <c r="BD40" s="44">
        <v>750</v>
      </c>
      <c r="BE40" s="44">
        <v>18767935</v>
      </c>
      <c r="BF40" s="44">
        <v>20231833</v>
      </c>
      <c r="BG40" s="44">
        <v>4457200</v>
      </c>
      <c r="BH40" s="44">
        <v>128000</v>
      </c>
      <c r="BI40" s="44">
        <v>312722</v>
      </c>
      <c r="BJ40" s="44">
        <v>6400</v>
      </c>
      <c r="BK40" s="44">
        <v>14481</v>
      </c>
      <c r="BL40" s="44">
        <v>69.81</v>
      </c>
      <c r="BM40" s="44">
        <v>77.41</v>
      </c>
      <c r="BN40" s="44">
        <v>417</v>
      </c>
      <c r="BO40" s="44">
        <v>98</v>
      </c>
      <c r="BP40" t="s">
        <v>387</v>
      </c>
      <c r="BQ40">
        <v>2018</v>
      </c>
      <c r="BR40">
        <v>1</v>
      </c>
      <c r="BS40" s="44">
        <v>515</v>
      </c>
      <c r="BT40" s="44">
        <v>94.39</v>
      </c>
      <c r="BU40" s="44">
        <v>3893</v>
      </c>
      <c r="BV40" s="44">
        <v>37624.089999999997</v>
      </c>
      <c r="BW40" s="47">
        <v>1645.56</v>
      </c>
      <c r="BX40" s="47">
        <v>109.36</v>
      </c>
      <c r="BY40" s="47">
        <v>975.96</v>
      </c>
      <c r="BZ40" s="47">
        <v>79.989999999999995</v>
      </c>
      <c r="CA40" s="47">
        <v>4331</v>
      </c>
      <c r="CB40" s="47">
        <v>74.599999999999994</v>
      </c>
      <c r="CC40" s="47">
        <v>19</v>
      </c>
      <c r="CD40" s="47">
        <v>93.6</v>
      </c>
      <c r="CE40" s="44">
        <v>73.319999999999894</v>
      </c>
    </row>
    <row r="41" spans="1:83" ht="15.5" x14ac:dyDescent="0.35">
      <c r="C41">
        <v>2</v>
      </c>
      <c r="D41" s="44">
        <v>854623.05</v>
      </c>
      <c r="E41" s="44">
        <v>5683</v>
      </c>
      <c r="F41" s="44">
        <v>6000.7479999999996</v>
      </c>
      <c r="G41" s="44">
        <v>6535</v>
      </c>
      <c r="H41" s="44">
        <v>4830</v>
      </c>
      <c r="I41" s="44">
        <v>5967</v>
      </c>
      <c r="J41" s="44">
        <v>171464</v>
      </c>
      <c r="K41" s="44">
        <v>2225</v>
      </c>
      <c r="L41" s="44">
        <v>2325.5</v>
      </c>
      <c r="M41" s="44">
        <v>50.650000000000006</v>
      </c>
      <c r="N41" s="44">
        <v>50.44</v>
      </c>
      <c r="O41" s="44">
        <v>2236750</v>
      </c>
      <c r="P41" s="44">
        <v>10.844999999999999</v>
      </c>
      <c r="S41">
        <v>2</v>
      </c>
      <c r="T41" s="44">
        <v>134</v>
      </c>
      <c r="U41" s="44">
        <v>141.5</v>
      </c>
      <c r="V41" s="44">
        <v>4334516.5549999997</v>
      </c>
      <c r="W41" s="44">
        <v>744874.07000000007</v>
      </c>
      <c r="X41" s="44">
        <v>5079390.625</v>
      </c>
      <c r="Y41" s="44">
        <v>854623.05</v>
      </c>
      <c r="Z41" s="44">
        <v>211926.25</v>
      </c>
      <c r="AA41" s="44">
        <v>50.650000000000006</v>
      </c>
      <c r="AB41" s="44">
        <v>35.204999999999998</v>
      </c>
      <c r="AC41" s="44">
        <v>56902286.530000001</v>
      </c>
      <c r="AD41" s="44">
        <v>55138315.644999996</v>
      </c>
      <c r="AE41" s="44">
        <v>0.1212</v>
      </c>
      <c r="AH41">
        <v>2</v>
      </c>
      <c r="AI41" s="44">
        <v>12072.5</v>
      </c>
      <c r="AJ41" s="44">
        <v>3.1616999999999999E-3</v>
      </c>
      <c r="AK41" s="44">
        <v>779558.5</v>
      </c>
      <c r="AL41" s="44">
        <v>1253724.5</v>
      </c>
      <c r="AM41" s="44">
        <v>1564932</v>
      </c>
      <c r="AN41" s="44">
        <v>5.3500000000000006E-2</v>
      </c>
      <c r="AO41" s="44">
        <v>1463.1666500000001</v>
      </c>
      <c r="AP41" s="44">
        <v>55138315.644999996</v>
      </c>
      <c r="AQ41" s="44">
        <v>56902286.530000001</v>
      </c>
      <c r="AR41" s="44">
        <v>1569748.5</v>
      </c>
      <c r="AS41" s="44">
        <v>51847452.5</v>
      </c>
      <c r="AT41" s="44">
        <v>12847.5</v>
      </c>
      <c r="AU41" s="44">
        <v>4014.5305547378534</v>
      </c>
      <c r="AV41" s="44">
        <v>14475961</v>
      </c>
      <c r="AW41" s="44">
        <v>269148058</v>
      </c>
      <c r="AZ41">
        <v>2</v>
      </c>
      <c r="BA41" s="44">
        <v>55.655000000000001</v>
      </c>
      <c r="BB41" s="44">
        <v>426</v>
      </c>
      <c r="BC41" s="44">
        <v>370.04999999999995</v>
      </c>
      <c r="BD41" s="44">
        <v>775</v>
      </c>
      <c r="BE41" s="44">
        <v>19518652.399999999</v>
      </c>
      <c r="BF41" s="44">
        <v>20331678.5</v>
      </c>
      <c r="BG41" s="44">
        <v>4448400</v>
      </c>
      <c r="BH41" s="44">
        <v>132000</v>
      </c>
      <c r="BI41" s="44">
        <v>331821.5</v>
      </c>
      <c r="BJ41" s="44">
        <v>6450</v>
      </c>
      <c r="BK41" s="44">
        <v>14191</v>
      </c>
      <c r="BL41" s="44">
        <v>75.625</v>
      </c>
      <c r="BM41" s="44">
        <v>77.539999999999992</v>
      </c>
      <c r="BN41" s="44">
        <v>413</v>
      </c>
      <c r="BO41" s="44">
        <v>100</v>
      </c>
      <c r="BR41">
        <v>2</v>
      </c>
      <c r="BS41" s="44">
        <v>513</v>
      </c>
      <c r="BT41" s="44">
        <v>94.41</v>
      </c>
      <c r="BU41" s="44">
        <v>4014</v>
      </c>
      <c r="BV41" s="44">
        <v>33814.869999999995</v>
      </c>
      <c r="BW41" s="44">
        <v>1714.6399999999999</v>
      </c>
      <c r="BX41" s="44">
        <v>106.10499999999999</v>
      </c>
      <c r="BY41" s="44">
        <v>976.04500000000007</v>
      </c>
      <c r="BZ41" s="44">
        <v>80.534999999999997</v>
      </c>
      <c r="CA41" s="44">
        <v>4213.5</v>
      </c>
      <c r="CB41" s="44">
        <v>70.894999999999996</v>
      </c>
      <c r="CC41" s="44">
        <v>19</v>
      </c>
      <c r="CD41" s="44">
        <v>89.894999999999996</v>
      </c>
      <c r="CE41" s="44">
        <v>73.479999999999905</v>
      </c>
    </row>
    <row r="42" spans="1:83" ht="15.5" x14ac:dyDescent="0.35">
      <c r="A42" t="s">
        <v>388</v>
      </c>
      <c r="B42">
        <v>2019</v>
      </c>
      <c r="C42">
        <v>1</v>
      </c>
      <c r="D42" s="44">
        <v>815096</v>
      </c>
      <c r="E42" s="44">
        <v>5703</v>
      </c>
      <c r="F42" s="44">
        <v>5879.7929999999997</v>
      </c>
      <c r="G42" s="44">
        <v>6558</v>
      </c>
      <c r="H42" s="44">
        <v>4847</v>
      </c>
      <c r="I42" s="44">
        <v>5988</v>
      </c>
      <c r="J42" s="44">
        <v>178372</v>
      </c>
      <c r="K42" s="44">
        <v>2250</v>
      </c>
      <c r="L42" s="44">
        <v>2522</v>
      </c>
      <c r="M42" s="44">
        <v>49.13</v>
      </c>
      <c r="N42" s="44">
        <v>49.42</v>
      </c>
      <c r="O42" s="44">
        <v>2136000</v>
      </c>
      <c r="P42" s="44">
        <v>11.45</v>
      </c>
      <c r="Q42" t="s">
        <v>388</v>
      </c>
      <c r="R42">
        <v>2019</v>
      </c>
      <c r="S42">
        <v>1</v>
      </c>
      <c r="T42" s="44">
        <v>133</v>
      </c>
      <c r="U42" s="44">
        <v>144</v>
      </c>
      <c r="V42" s="44">
        <v>4004167.5</v>
      </c>
      <c r="W42" s="44">
        <v>689395.3</v>
      </c>
      <c r="X42" s="44">
        <v>4693562.8</v>
      </c>
      <c r="Y42" s="44">
        <v>815096</v>
      </c>
      <c r="Z42" s="44">
        <v>192507</v>
      </c>
      <c r="AA42" s="44">
        <v>49.13</v>
      </c>
      <c r="AB42" s="44">
        <v>35.81</v>
      </c>
      <c r="AC42" s="44">
        <v>54604036.340000004</v>
      </c>
      <c r="AD42" s="44">
        <v>52911311.210000001</v>
      </c>
      <c r="AE42" s="44">
        <v>0.1201</v>
      </c>
      <c r="AF42" t="s">
        <v>388</v>
      </c>
      <c r="AG42">
        <v>2019</v>
      </c>
      <c r="AH42">
        <v>1</v>
      </c>
      <c r="AI42" s="44">
        <v>12091</v>
      </c>
      <c r="AJ42" s="44">
        <v>3.2566000000000001E-3</v>
      </c>
      <c r="AK42" s="44">
        <v>351848</v>
      </c>
      <c r="AL42" s="44">
        <v>1102610</v>
      </c>
      <c r="AM42" s="44">
        <v>1342564</v>
      </c>
      <c r="AN42" s="44">
        <v>0.05</v>
      </c>
      <c r="AO42" s="44">
        <v>1452.1290999999999</v>
      </c>
      <c r="AP42" s="44">
        <v>52911311.210000001</v>
      </c>
      <c r="AQ42" s="44">
        <v>54604036.340000004</v>
      </c>
      <c r="AR42" s="44">
        <v>2193965</v>
      </c>
      <c r="AS42" s="44">
        <v>48816008</v>
      </c>
      <c r="AT42" s="44">
        <v>12891</v>
      </c>
      <c r="AU42" s="44">
        <v>4135.2015313269367</v>
      </c>
      <c r="AV42" s="44">
        <v>14562549</v>
      </c>
      <c r="AW42" s="44">
        <v>270625567</v>
      </c>
      <c r="AX42" t="s">
        <v>388</v>
      </c>
      <c r="AY42">
        <v>2019</v>
      </c>
      <c r="AZ42">
        <v>1</v>
      </c>
      <c r="BA42" s="44">
        <v>55.984999999999999</v>
      </c>
      <c r="BB42" s="44">
        <v>439</v>
      </c>
      <c r="BC42" s="44">
        <v>370.15</v>
      </c>
      <c r="BD42" s="44">
        <v>800</v>
      </c>
      <c r="BE42" s="44">
        <v>20269369.800000001</v>
      </c>
      <c r="BF42" s="44">
        <v>20431524</v>
      </c>
      <c r="BG42" s="44">
        <v>4439600</v>
      </c>
      <c r="BH42" s="44">
        <v>136000</v>
      </c>
      <c r="BI42" s="44">
        <v>350921</v>
      </c>
      <c r="BJ42" s="44">
        <v>6500</v>
      </c>
      <c r="BK42" s="44">
        <v>13901</v>
      </c>
      <c r="BL42" s="44">
        <v>81.44</v>
      </c>
      <c r="BM42" s="44">
        <v>77.67</v>
      </c>
      <c r="BN42" s="44">
        <v>409</v>
      </c>
      <c r="BO42" s="44">
        <v>102</v>
      </c>
      <c r="BP42" t="s">
        <v>388</v>
      </c>
      <c r="BQ42">
        <v>2019</v>
      </c>
      <c r="BR42">
        <v>1</v>
      </c>
      <c r="BS42" s="44">
        <v>511</v>
      </c>
      <c r="BT42" s="44">
        <v>94.43</v>
      </c>
      <c r="BU42" s="44">
        <v>4135</v>
      </c>
      <c r="BV42" s="44">
        <v>30005.65</v>
      </c>
      <c r="BW42" s="47">
        <v>1783.72</v>
      </c>
      <c r="BX42" s="47">
        <v>102.85</v>
      </c>
      <c r="BY42" s="47">
        <v>976.13</v>
      </c>
      <c r="BZ42" s="47">
        <v>81.08</v>
      </c>
      <c r="CA42" s="47">
        <v>4096</v>
      </c>
      <c r="CB42" s="47">
        <v>67.19</v>
      </c>
      <c r="CC42" s="47">
        <v>19</v>
      </c>
      <c r="CD42" s="47">
        <v>86.19</v>
      </c>
      <c r="CE42" s="44">
        <v>73.639999999999901</v>
      </c>
    </row>
    <row r="43" spans="1:83" ht="15.5" x14ac:dyDescent="0.35">
      <c r="C43">
        <v>2</v>
      </c>
      <c r="D43" s="44">
        <v>835473.4</v>
      </c>
      <c r="E43" s="44">
        <v>5546</v>
      </c>
      <c r="F43" s="44">
        <v>5690.9809999999998</v>
      </c>
      <c r="G43" s="44">
        <v>6377.5</v>
      </c>
      <c r="H43" s="44">
        <v>4815</v>
      </c>
      <c r="I43" s="44">
        <v>5823</v>
      </c>
      <c r="J43" s="44">
        <v>182831</v>
      </c>
      <c r="K43" s="44">
        <v>2325</v>
      </c>
      <c r="L43" s="44">
        <v>2407.5</v>
      </c>
      <c r="M43" s="44">
        <v>49.695</v>
      </c>
      <c r="N43" s="44">
        <v>49.984999999999999</v>
      </c>
      <c r="O43" s="44">
        <v>2298000</v>
      </c>
      <c r="P43" s="44">
        <v>11.614999999999998</v>
      </c>
      <c r="S43">
        <v>2</v>
      </c>
      <c r="T43" s="44">
        <v>130</v>
      </c>
      <c r="U43" s="44">
        <v>141</v>
      </c>
      <c r="V43" s="44">
        <v>4244417.55</v>
      </c>
      <c r="W43" s="44">
        <v>693531.67</v>
      </c>
      <c r="X43" s="44">
        <v>4937949.22</v>
      </c>
      <c r="Y43" s="44">
        <v>828137.55</v>
      </c>
      <c r="Z43" s="44">
        <v>196549.64500000002</v>
      </c>
      <c r="AA43" s="44">
        <v>51.14</v>
      </c>
      <c r="AB43" s="44">
        <v>36.200000000000003</v>
      </c>
      <c r="AC43" s="44">
        <v>54626622.290000007</v>
      </c>
      <c r="AD43" s="44">
        <v>52933196.995000005</v>
      </c>
      <c r="AE43" s="44">
        <v>0.1195</v>
      </c>
      <c r="AH43">
        <v>2</v>
      </c>
      <c r="AI43" s="44">
        <v>12201</v>
      </c>
      <c r="AJ43" s="44">
        <v>3.1334500000000003E-3</v>
      </c>
      <c r="AK43" s="44">
        <v>1815030</v>
      </c>
      <c r="AL43" s="44">
        <v>1167714.5</v>
      </c>
      <c r="AM43" s="44">
        <v>1288596.5</v>
      </c>
      <c r="AN43" s="44">
        <v>0.05</v>
      </c>
      <c r="AO43" s="44">
        <v>1457.9535000000001</v>
      </c>
      <c r="AP43" s="44">
        <v>52933196.995000005</v>
      </c>
      <c r="AQ43" s="44">
        <v>54626622.290000007</v>
      </c>
      <c r="AR43" s="44">
        <v>1813312.0725</v>
      </c>
      <c r="AS43" s="44">
        <v>42934085.5</v>
      </c>
      <c r="AT43" s="44">
        <v>13013.5</v>
      </c>
      <c r="AU43" s="44">
        <v>4002.3949791861542</v>
      </c>
      <c r="AV43" s="44">
        <v>14639381</v>
      </c>
      <c r="AW43" s="44">
        <v>272074594</v>
      </c>
      <c r="AZ43">
        <v>2</v>
      </c>
      <c r="BA43" s="44">
        <v>56.313000000000002</v>
      </c>
      <c r="BB43" s="44">
        <v>445.75</v>
      </c>
      <c r="BC43" s="44">
        <v>235.35499999999999</v>
      </c>
      <c r="BD43" s="44">
        <v>812.5</v>
      </c>
      <c r="BE43" s="44">
        <v>22093613.082000002</v>
      </c>
      <c r="BF43" s="44">
        <v>22389950.5</v>
      </c>
      <c r="BG43" s="44">
        <v>4759800</v>
      </c>
      <c r="BH43" s="44">
        <v>148500</v>
      </c>
      <c r="BI43" s="44">
        <v>366973.5</v>
      </c>
      <c r="BJ43" s="44">
        <v>6700</v>
      </c>
      <c r="BK43" s="44">
        <v>14003</v>
      </c>
      <c r="BL43" s="44">
        <v>76.64</v>
      </c>
      <c r="BM43" s="44">
        <v>77.94</v>
      </c>
      <c r="BN43" s="44">
        <v>405</v>
      </c>
      <c r="BO43" s="44">
        <v>97.5</v>
      </c>
      <c r="BR43">
        <v>2</v>
      </c>
      <c r="BS43" s="44">
        <v>502.5</v>
      </c>
      <c r="BT43" s="44">
        <v>94.855000000000004</v>
      </c>
      <c r="BU43" s="44">
        <v>4002</v>
      </c>
      <c r="BV43" s="44">
        <v>30005.65</v>
      </c>
      <c r="BW43" s="44">
        <v>1828.31</v>
      </c>
      <c r="BX43" s="44">
        <v>104.66499999999999</v>
      </c>
      <c r="BY43" s="44">
        <v>976.07500000000005</v>
      </c>
      <c r="BZ43" s="44">
        <v>81.625</v>
      </c>
      <c r="CA43" s="44">
        <v>4162</v>
      </c>
      <c r="CB43" s="44">
        <v>69.94</v>
      </c>
      <c r="CC43" s="44">
        <v>19</v>
      </c>
      <c r="CD43" s="44">
        <v>88.94</v>
      </c>
      <c r="CE43" s="44">
        <v>73.799999999999898</v>
      </c>
    </row>
    <row r="44" spans="1:83" ht="15.5" x14ac:dyDescent="0.35">
      <c r="A44" t="s">
        <v>384</v>
      </c>
      <c r="B44">
        <v>2020</v>
      </c>
      <c r="C44">
        <v>1</v>
      </c>
      <c r="D44" s="44">
        <v>855850.8</v>
      </c>
      <c r="E44" s="44">
        <v>5389</v>
      </c>
      <c r="F44" s="44">
        <v>5502.1689999999999</v>
      </c>
      <c r="G44" s="44">
        <v>6197</v>
      </c>
      <c r="H44" s="44">
        <v>4783</v>
      </c>
      <c r="I44" s="44">
        <v>5658</v>
      </c>
      <c r="J44" s="44">
        <v>187290</v>
      </c>
      <c r="K44" s="44">
        <v>2400</v>
      </c>
      <c r="L44" s="44">
        <v>2293</v>
      </c>
      <c r="M44" s="44">
        <v>50.26</v>
      </c>
      <c r="N44" s="44">
        <v>50.55</v>
      </c>
      <c r="O44" s="44">
        <v>2460000</v>
      </c>
      <c r="P44" s="44">
        <v>11.78</v>
      </c>
      <c r="Q44" t="s">
        <v>384</v>
      </c>
      <c r="R44">
        <v>2020</v>
      </c>
      <c r="S44">
        <v>1</v>
      </c>
      <c r="T44" s="44">
        <v>127</v>
      </c>
      <c r="U44" s="44">
        <v>138</v>
      </c>
      <c r="V44" s="44">
        <v>4484667.5999999996</v>
      </c>
      <c r="W44" s="44">
        <v>697668.04</v>
      </c>
      <c r="X44" s="44">
        <v>5182335.6399999997</v>
      </c>
      <c r="Y44" s="44">
        <v>841179.1</v>
      </c>
      <c r="Z44" s="44">
        <v>200592.29</v>
      </c>
      <c r="AA44" s="44">
        <v>53.15</v>
      </c>
      <c r="AB44" s="44">
        <v>36.590000000000003</v>
      </c>
      <c r="AC44" s="44">
        <v>54649208.240000002</v>
      </c>
      <c r="AD44" s="44">
        <v>52955082.780000001</v>
      </c>
      <c r="AE44" s="44">
        <v>0.11890000000000001</v>
      </c>
      <c r="AF44" t="s">
        <v>384</v>
      </c>
      <c r="AG44">
        <v>2020</v>
      </c>
      <c r="AH44">
        <v>1</v>
      </c>
      <c r="AI44" s="44">
        <v>12311</v>
      </c>
      <c r="AJ44" s="44">
        <v>3.0103E-3</v>
      </c>
      <c r="AK44" s="44">
        <v>3278212</v>
      </c>
      <c r="AL44" s="44">
        <v>1232819</v>
      </c>
      <c r="AM44" s="44">
        <v>1234629</v>
      </c>
      <c r="AN44" s="44">
        <v>0.05</v>
      </c>
      <c r="AO44" s="44">
        <v>1463.7779</v>
      </c>
      <c r="AP44" s="44">
        <v>52955082.780000001</v>
      </c>
      <c r="AQ44" s="44">
        <v>54649208.240000002</v>
      </c>
      <c r="AR44" s="44">
        <v>1432659.145</v>
      </c>
      <c r="AS44" s="44">
        <v>37052163</v>
      </c>
      <c r="AT44" s="44">
        <v>13136</v>
      </c>
      <c r="AU44" s="44">
        <v>3869.5884270453721</v>
      </c>
      <c r="AV44" s="44">
        <v>14703532</v>
      </c>
      <c r="AW44" s="44">
        <v>273523621</v>
      </c>
      <c r="AX44" t="s">
        <v>384</v>
      </c>
      <c r="AY44">
        <v>2020</v>
      </c>
      <c r="AZ44">
        <v>1</v>
      </c>
      <c r="BA44" s="44">
        <v>56.640999999999998</v>
      </c>
      <c r="BB44" s="44">
        <v>452.5</v>
      </c>
      <c r="BC44" s="44">
        <v>100.56</v>
      </c>
      <c r="BD44" s="44">
        <v>825</v>
      </c>
      <c r="BE44" s="44">
        <v>23917856.364</v>
      </c>
      <c r="BF44" s="44">
        <v>24348377</v>
      </c>
      <c r="BG44" s="44">
        <v>5080000</v>
      </c>
      <c r="BH44" s="44">
        <v>161000</v>
      </c>
      <c r="BI44" s="44">
        <v>383026</v>
      </c>
      <c r="BJ44" s="44">
        <v>6900</v>
      </c>
      <c r="BK44" s="44">
        <v>14105</v>
      </c>
      <c r="BL44" s="44">
        <v>71.84</v>
      </c>
      <c r="BM44" s="44">
        <v>78.209999999999994</v>
      </c>
      <c r="BN44" s="44">
        <v>401</v>
      </c>
      <c r="BO44" s="44">
        <v>93</v>
      </c>
      <c r="BP44" t="s">
        <v>384</v>
      </c>
      <c r="BQ44">
        <v>2020</v>
      </c>
      <c r="BR44">
        <v>1</v>
      </c>
      <c r="BS44" s="44">
        <v>494</v>
      </c>
      <c r="BT44" s="44">
        <v>95.28</v>
      </c>
      <c r="BU44" s="44">
        <v>3869</v>
      </c>
      <c r="BV44" s="44">
        <v>30005.65</v>
      </c>
      <c r="BW44" s="47">
        <v>1872.9</v>
      </c>
      <c r="BX44" s="47">
        <v>106.48</v>
      </c>
      <c r="BY44" s="47">
        <v>976.02</v>
      </c>
      <c r="BZ44" s="47">
        <v>82.17</v>
      </c>
      <c r="CA44" s="47">
        <v>4228</v>
      </c>
      <c r="CB44" s="47">
        <v>72.69</v>
      </c>
      <c r="CC44" s="47">
        <v>19</v>
      </c>
      <c r="CD44" s="47">
        <v>91.69</v>
      </c>
      <c r="CE44" s="44">
        <v>73.959999999999894</v>
      </c>
    </row>
    <row r="45" spans="1:83" ht="15.5" x14ac:dyDescent="0.35">
      <c r="C45">
        <v>2</v>
      </c>
      <c r="D45" s="44">
        <v>845662.10000000009</v>
      </c>
      <c r="E45" s="44">
        <v>5467.5</v>
      </c>
      <c r="F45" s="44">
        <v>5596.5749999999998</v>
      </c>
      <c r="G45" s="44">
        <v>6287.25</v>
      </c>
      <c r="H45" s="44">
        <v>4799</v>
      </c>
      <c r="I45" s="44">
        <v>5740.5</v>
      </c>
      <c r="J45" s="44">
        <v>185060.5</v>
      </c>
      <c r="K45" s="44">
        <v>2362.5</v>
      </c>
      <c r="L45" s="44">
        <v>2350.25</v>
      </c>
      <c r="M45" s="44">
        <v>49.977499999999999</v>
      </c>
      <c r="N45" s="44">
        <v>50.267499999999998</v>
      </c>
      <c r="O45" s="44">
        <v>2379000</v>
      </c>
      <c r="P45" s="44">
        <v>11.697499999999998</v>
      </c>
      <c r="S45">
        <v>2</v>
      </c>
      <c r="T45" s="44">
        <v>128.5</v>
      </c>
      <c r="U45" s="44">
        <v>139.5</v>
      </c>
      <c r="V45" s="44">
        <v>4364542.5749999993</v>
      </c>
      <c r="W45" s="44">
        <v>695599.85499999998</v>
      </c>
      <c r="X45" s="44">
        <v>5060142.43</v>
      </c>
      <c r="Y45" s="44">
        <v>834658.32499999995</v>
      </c>
      <c r="Z45" s="44">
        <v>198570.96750000003</v>
      </c>
      <c r="AA45" s="44">
        <v>52.144999999999996</v>
      </c>
      <c r="AB45" s="44">
        <v>36.395000000000003</v>
      </c>
      <c r="AC45" s="44">
        <v>54637915.265000001</v>
      </c>
      <c r="AD45" s="44">
        <v>52944139.887500003</v>
      </c>
      <c r="AE45" s="44">
        <v>0.1192</v>
      </c>
      <c r="AH45">
        <v>2</v>
      </c>
      <c r="AI45" s="44">
        <v>12256</v>
      </c>
      <c r="AJ45" s="44">
        <v>3.071875E-3</v>
      </c>
      <c r="AK45" s="44">
        <v>2546621</v>
      </c>
      <c r="AL45" s="44">
        <v>1200266.75</v>
      </c>
      <c r="AM45" s="44">
        <v>1261612.75</v>
      </c>
      <c r="AN45" s="44">
        <v>0.05</v>
      </c>
      <c r="AO45" s="44">
        <v>1460.8657000000001</v>
      </c>
      <c r="AP45" s="44">
        <v>52944139.887500003</v>
      </c>
      <c r="AQ45" s="44">
        <v>54637915.265000001</v>
      </c>
      <c r="AR45" s="44">
        <v>1622985.6087500001</v>
      </c>
      <c r="AS45" s="44">
        <v>39993124.25</v>
      </c>
      <c r="AT45" s="44">
        <v>13074.75</v>
      </c>
      <c r="AU45" s="44">
        <v>3935.9917031157629</v>
      </c>
      <c r="AV45" s="44">
        <v>14798405</v>
      </c>
      <c r="AW45" s="44">
        <v>272799107.5</v>
      </c>
      <c r="AZ45">
        <v>2</v>
      </c>
      <c r="BA45" s="44">
        <v>50.226661440914782</v>
      </c>
      <c r="BB45" s="44">
        <v>408</v>
      </c>
      <c r="BC45" s="44">
        <v>137.03</v>
      </c>
      <c r="BD45" s="44">
        <v>756</v>
      </c>
      <c r="BE45" s="44">
        <v>17848246.682</v>
      </c>
      <c r="BF45" s="44">
        <v>17957499</v>
      </c>
      <c r="BG45" s="44">
        <v>3448151</v>
      </c>
      <c r="BH45" s="44">
        <v>91500</v>
      </c>
      <c r="BI45" s="44">
        <v>320778.5</v>
      </c>
      <c r="BJ45" s="44">
        <v>4200</v>
      </c>
      <c r="BK45" s="44">
        <v>11412</v>
      </c>
      <c r="BL45" s="44">
        <v>65.849999999999994</v>
      </c>
      <c r="BM45" s="44">
        <v>73.97999999999999</v>
      </c>
      <c r="BN45" s="44">
        <v>394</v>
      </c>
      <c r="BO45" s="44">
        <v>103</v>
      </c>
      <c r="BR45">
        <v>2</v>
      </c>
      <c r="BS45" s="44">
        <v>497</v>
      </c>
      <c r="BT45" s="44">
        <v>92.91</v>
      </c>
      <c r="BU45" s="44">
        <v>3211.5</v>
      </c>
      <c r="BV45" s="44">
        <v>26760.11</v>
      </c>
      <c r="BW45" s="44">
        <v>1944.94</v>
      </c>
      <c r="BX45" s="44">
        <v>106.065</v>
      </c>
      <c r="BY45" s="44">
        <v>778.17499999999995</v>
      </c>
      <c r="BZ45" s="44">
        <v>78.769999999999953</v>
      </c>
      <c r="CA45" s="44">
        <v>4003.5</v>
      </c>
      <c r="CB45" s="44">
        <v>69.77</v>
      </c>
      <c r="CC45" s="44">
        <v>17</v>
      </c>
      <c r="CD45" s="44">
        <v>86.77</v>
      </c>
      <c r="CE45" s="44">
        <v>71.259999999999948</v>
      </c>
    </row>
    <row r="46" spans="1:83" ht="15.5" x14ac:dyDescent="0.35">
      <c r="A46" t="s">
        <v>382</v>
      </c>
      <c r="B46">
        <v>2021</v>
      </c>
      <c r="C46">
        <v>1</v>
      </c>
      <c r="D46" s="44">
        <v>919832.86321353004</v>
      </c>
      <c r="E46" s="44">
        <v>6145.8095238095202</v>
      </c>
      <c r="F46" s="44">
        <v>6354.4457015098697</v>
      </c>
      <c r="G46" s="44">
        <v>7029.09651567944</v>
      </c>
      <c r="H46" s="44">
        <v>5219.9430894308998</v>
      </c>
      <c r="I46" s="44">
        <v>6452.8977932636499</v>
      </c>
      <c r="J46" s="44">
        <v>279309.882694542</v>
      </c>
      <c r="K46" s="44">
        <v>2389.69221835075</v>
      </c>
      <c r="L46" s="44">
        <v>2207.0890824622502</v>
      </c>
      <c r="M46" s="44">
        <v>55.4684030197445</v>
      </c>
      <c r="N46" s="44">
        <v>54.905905923344903</v>
      </c>
      <c r="O46" s="44">
        <v>2370098.8455284499</v>
      </c>
      <c r="P46" s="44">
        <v>10.610214866434401</v>
      </c>
      <c r="Q46" t="s">
        <v>382</v>
      </c>
      <c r="R46">
        <v>2021</v>
      </c>
      <c r="S46">
        <v>1</v>
      </c>
      <c r="T46" s="44">
        <v>134.21602787456399</v>
      </c>
      <c r="U46" s="44">
        <v>143.75958188153299</v>
      </c>
      <c r="V46" s="44">
        <v>4855301.7318118503</v>
      </c>
      <c r="W46" s="44">
        <v>552054.305865273</v>
      </c>
      <c r="X46" s="44">
        <v>5407356.0376771204</v>
      </c>
      <c r="Y46" s="44">
        <v>927618.93072009296</v>
      </c>
      <c r="Z46" s="44">
        <v>161866.00077235801</v>
      </c>
      <c r="AA46" s="44">
        <v>52.967758420441299</v>
      </c>
      <c r="AB46" s="44">
        <v>36.521672473867604</v>
      </c>
      <c r="AC46" s="44">
        <v>56387102.358617902</v>
      </c>
      <c r="AD46" s="44">
        <v>53905813.756602697</v>
      </c>
      <c r="AE46" s="44">
        <v>0.115939953542393</v>
      </c>
      <c r="AF46" t="s">
        <v>382</v>
      </c>
      <c r="AG46">
        <v>2021</v>
      </c>
      <c r="AH46">
        <v>1</v>
      </c>
      <c r="AI46" s="44">
        <v>12321.833914053401</v>
      </c>
      <c r="AJ46" s="44">
        <v>3.2583868176538902E-3</v>
      </c>
      <c r="AK46" s="44">
        <v>2678276.3623693399</v>
      </c>
      <c r="AL46" s="44">
        <v>2354268.4976771199</v>
      </c>
      <c r="AM46" s="44">
        <v>1153287.51277584</v>
      </c>
      <c r="AN46" s="44">
        <v>5.2487804878048799E-2</v>
      </c>
      <c r="AO46" s="44">
        <v>1440.5019531939599</v>
      </c>
      <c r="AP46" s="44">
        <v>53905813.756602697</v>
      </c>
      <c r="AQ46" s="44">
        <v>57054918.204332203</v>
      </c>
      <c r="AR46" s="44">
        <v>1779190.2879007</v>
      </c>
      <c r="AS46" s="44">
        <v>44703189.894889697</v>
      </c>
      <c r="AT46" s="44">
        <v>12928.1759581882</v>
      </c>
      <c r="AU46" s="44">
        <v>3854.6174791209501</v>
      </c>
      <c r="AV46" s="44">
        <v>14954032</v>
      </c>
      <c r="AW46" s="44">
        <v>271922316.67595798</v>
      </c>
      <c r="AX46" t="s">
        <v>382</v>
      </c>
      <c r="AY46">
        <v>2021</v>
      </c>
      <c r="AZ46">
        <v>1</v>
      </c>
      <c r="BA46" s="44">
        <v>56.548184535980702</v>
      </c>
      <c r="BB46" s="44">
        <v>340.18292682926801</v>
      </c>
      <c r="BC46" s="44">
        <v>304.06652729384399</v>
      </c>
      <c r="BD46" s="44">
        <v>600.36585365853603</v>
      </c>
      <c r="BE46" s="44">
        <v>20468769.592696901</v>
      </c>
      <c r="BF46" s="44">
        <v>21310528.955865301</v>
      </c>
      <c r="BG46" s="44">
        <v>4561138.3763066204</v>
      </c>
      <c r="BH46" s="44">
        <v>123301.974448316</v>
      </c>
      <c r="BI46" s="44">
        <v>347547.859465738</v>
      </c>
      <c r="BJ46" s="44">
        <v>7139.0243902438997</v>
      </c>
      <c r="BK46" s="44">
        <v>14106.328687572601</v>
      </c>
      <c r="BL46" s="44">
        <v>68.529407665505303</v>
      </c>
      <c r="BM46" s="44">
        <v>77.850325203251998</v>
      </c>
      <c r="BN46" s="44">
        <v>414.46109175377501</v>
      </c>
      <c r="BO46" s="44">
        <v>92.498257839721205</v>
      </c>
      <c r="BP46" t="s">
        <v>382</v>
      </c>
      <c r="BQ46">
        <v>2021</v>
      </c>
      <c r="BR46">
        <v>1</v>
      </c>
      <c r="BS46" s="44">
        <v>506.95934959349597</v>
      </c>
      <c r="BT46" s="44">
        <v>94.899430894308907</v>
      </c>
      <c r="BU46" s="44">
        <v>4021.5679442508699</v>
      </c>
      <c r="BV46" s="44">
        <v>37170.634343786303</v>
      </c>
      <c r="BW46" s="47">
        <v>2385.2956794425099</v>
      </c>
      <c r="BX46" s="47">
        <v>103.621200929152</v>
      </c>
      <c r="BY46" s="47">
        <v>1006.57919860627</v>
      </c>
      <c r="BZ46" s="47">
        <v>80.888048780487793</v>
      </c>
      <c r="CA46" s="47">
        <v>4294.78861788618</v>
      </c>
      <c r="CB46" s="47">
        <v>70.769907084785103</v>
      </c>
      <c r="CC46" s="47">
        <v>19.387921022067399</v>
      </c>
      <c r="CD46" s="47">
        <v>90.157828106852506</v>
      </c>
      <c r="CE46" s="44">
        <v>74.007619047618903</v>
      </c>
    </row>
    <row r="47" spans="1:83" ht="15.5" x14ac:dyDescent="0.35">
      <c r="C47">
        <v>2</v>
      </c>
      <c r="D47" s="44">
        <v>932608.77157857595</v>
      </c>
      <c r="E47" s="44">
        <v>6249.6766334440699</v>
      </c>
      <c r="F47" s="44">
        <v>6461.9071632633804</v>
      </c>
      <c r="G47" s="44">
        <v>7149.7423669070604</v>
      </c>
      <c r="H47" s="44">
        <v>5310.1060016746396</v>
      </c>
      <c r="I47" s="44">
        <v>6561.9655754531004</v>
      </c>
      <c r="J47" s="44">
        <v>283451.42098155199</v>
      </c>
      <c r="K47" s="44">
        <v>2423.16904356751</v>
      </c>
      <c r="L47" s="44">
        <v>2209.6479877373499</v>
      </c>
      <c r="M47" s="44">
        <v>55.808015895524399</v>
      </c>
      <c r="N47" s="44">
        <v>55.2064214812413</v>
      </c>
      <c r="O47" s="44">
        <v>2415985.5653647701</v>
      </c>
      <c r="P47" s="44">
        <v>10.846274140399199</v>
      </c>
      <c r="S47">
        <v>2</v>
      </c>
      <c r="T47" s="44">
        <v>134.42042784215201</v>
      </c>
      <c r="U47" s="44">
        <v>144.062353131837</v>
      </c>
      <c r="V47" s="44">
        <v>4941664.5194542604</v>
      </c>
      <c r="W47" s="44">
        <v>566638.94368514104</v>
      </c>
      <c r="X47" s="44">
        <v>5508303.4631393999</v>
      </c>
      <c r="Y47" s="44">
        <v>942452.52619655395</v>
      </c>
      <c r="Z47" s="44">
        <v>166799.79704028601</v>
      </c>
      <c r="AA47" s="44">
        <v>53.122748291602498</v>
      </c>
      <c r="AB47" s="44">
        <v>36.682879831456098</v>
      </c>
      <c r="AC47" s="44">
        <v>57311748.897927903</v>
      </c>
      <c r="AD47" s="44">
        <v>54760281.644426502</v>
      </c>
      <c r="AE47" s="44">
        <v>0.115929796342814</v>
      </c>
      <c r="AH47">
        <v>2</v>
      </c>
      <c r="AI47" s="44">
        <v>12490.763619912001</v>
      </c>
      <c r="AJ47" s="44">
        <v>3.2722990229046801E-3</v>
      </c>
      <c r="AK47" s="44">
        <v>2688021.8161007999</v>
      </c>
      <c r="AL47" s="44">
        <v>2393737.8361626598</v>
      </c>
      <c r="AM47" s="44">
        <v>1143918.7993612101</v>
      </c>
      <c r="AN47" s="44">
        <v>5.2410825702941401E-2</v>
      </c>
      <c r="AO47" s="44">
        <v>1460.46828152635</v>
      </c>
      <c r="AP47" s="44">
        <v>54760281.644426502</v>
      </c>
      <c r="AQ47" s="44">
        <v>58014371.3243066</v>
      </c>
      <c r="AR47" s="44">
        <v>1801399.45209292</v>
      </c>
      <c r="AS47" s="44">
        <v>45192185.768461503</v>
      </c>
      <c r="AT47" s="44">
        <v>13099.277996110501</v>
      </c>
      <c r="AU47" s="44">
        <v>3865.78428881438</v>
      </c>
      <c r="AV47" s="44">
        <v>14955532</v>
      </c>
      <c r="AW47" s="44">
        <v>273036729.56454098</v>
      </c>
      <c r="AZ47">
        <v>2</v>
      </c>
      <c r="BA47" s="44">
        <v>56.849795075666897</v>
      </c>
      <c r="BB47" s="44">
        <v>341.62997325986498</v>
      </c>
      <c r="BC47" s="44">
        <v>306.9760889177</v>
      </c>
      <c r="BD47" s="44">
        <v>602.32971396159098</v>
      </c>
      <c r="BE47" s="44">
        <v>20683009.830310699</v>
      </c>
      <c r="BF47" s="44">
        <v>21542331.480944298</v>
      </c>
      <c r="BG47" s="44">
        <v>4634677.4502876597</v>
      </c>
      <c r="BH47" s="44">
        <v>126194.203603166</v>
      </c>
      <c r="BI47" s="44">
        <v>349910.12313967</v>
      </c>
      <c r="BJ47" s="44">
        <v>7277.71655457418</v>
      </c>
      <c r="BK47" s="44">
        <v>14265.36944602</v>
      </c>
      <c r="BL47" s="44">
        <v>68.806522972206494</v>
      </c>
      <c r="BM47" s="44">
        <v>78.088767792993494</v>
      </c>
      <c r="BN47" s="44">
        <v>414.88342381762698</v>
      </c>
      <c r="BO47" s="44">
        <v>92.222429300704903</v>
      </c>
      <c r="BR47">
        <v>2</v>
      </c>
      <c r="BS47" s="44">
        <v>507.10585311833199</v>
      </c>
      <c r="BT47" s="44">
        <v>95.012571644653306</v>
      </c>
      <c r="BU47" s="44">
        <v>4052.60432703994</v>
      </c>
      <c r="BV47" s="44">
        <v>37445.065952245903</v>
      </c>
      <c r="BW47" s="44">
        <v>2384.20697350296</v>
      </c>
      <c r="BX47" s="44">
        <v>103.717859222645</v>
      </c>
      <c r="BY47" s="44">
        <v>1015.21205169759</v>
      </c>
      <c r="BZ47" s="44">
        <v>80.970615833400899</v>
      </c>
      <c r="CA47" s="44">
        <v>4306.6481106339297</v>
      </c>
      <c r="CB47" s="44">
        <v>70.890522918185994</v>
      </c>
      <c r="CC47" s="44">
        <v>19.487912918996301</v>
      </c>
      <c r="CD47" s="44">
        <v>90.378435837182295</v>
      </c>
      <c r="CE47" s="44">
        <v>74.158117386489394</v>
      </c>
    </row>
    <row r="48" spans="1:83" ht="15.5" x14ac:dyDescent="0.35">
      <c r="A48" t="s">
        <v>385</v>
      </c>
      <c r="B48">
        <v>2022</v>
      </c>
      <c r="C48">
        <v>1</v>
      </c>
      <c r="D48" s="44">
        <v>945384.67994362197</v>
      </c>
      <c r="E48" s="44">
        <v>6353.5437430786296</v>
      </c>
      <c r="F48" s="44">
        <v>6569.3686250168803</v>
      </c>
      <c r="G48" s="44">
        <v>7270.3882181346698</v>
      </c>
      <c r="H48" s="44">
        <v>5400.2689139183803</v>
      </c>
      <c r="I48" s="44">
        <v>6671.0333576425501</v>
      </c>
      <c r="J48" s="44">
        <v>287592.95926856302</v>
      </c>
      <c r="K48" s="44">
        <v>2456.6458687842701</v>
      </c>
      <c r="L48" s="44">
        <v>2212.2068930124501</v>
      </c>
      <c r="M48" s="44">
        <v>56.147628771304298</v>
      </c>
      <c r="N48" s="44">
        <v>55.506937039137803</v>
      </c>
      <c r="O48" s="44">
        <v>2461872.2852010899</v>
      </c>
      <c r="P48" s="44">
        <v>11.082333414363999</v>
      </c>
      <c r="Q48" t="s">
        <v>385</v>
      </c>
      <c r="R48">
        <v>2022</v>
      </c>
      <c r="S48">
        <v>1</v>
      </c>
      <c r="T48" s="44">
        <v>134.62482780974</v>
      </c>
      <c r="U48" s="44">
        <v>144.365124382141</v>
      </c>
      <c r="V48" s="44">
        <v>5028027.3070966704</v>
      </c>
      <c r="W48" s="44">
        <v>581223.58150501002</v>
      </c>
      <c r="X48" s="44">
        <v>5609250.8886016803</v>
      </c>
      <c r="Y48" s="44">
        <v>957286.12167301401</v>
      </c>
      <c r="Z48" s="44">
        <v>171733.59330821401</v>
      </c>
      <c r="AA48" s="44">
        <v>53.277738162763697</v>
      </c>
      <c r="AB48" s="44">
        <v>36.8440871890446</v>
      </c>
      <c r="AC48" s="44">
        <v>58236395.437237903</v>
      </c>
      <c r="AD48" s="44">
        <v>55614749.532250203</v>
      </c>
      <c r="AE48" s="44">
        <v>0.115919639143235</v>
      </c>
      <c r="AF48" t="s">
        <v>385</v>
      </c>
      <c r="AG48">
        <v>2022</v>
      </c>
      <c r="AH48">
        <v>1</v>
      </c>
      <c r="AI48" s="44">
        <v>12659.6933257705</v>
      </c>
      <c r="AJ48" s="44">
        <v>3.28621122815547E-3</v>
      </c>
      <c r="AK48" s="44">
        <v>2697767.2698322702</v>
      </c>
      <c r="AL48" s="44">
        <v>2433207.1746482002</v>
      </c>
      <c r="AM48" s="44">
        <v>1134550.0859465699</v>
      </c>
      <c r="AN48" s="44">
        <v>5.2333846527834099E-2</v>
      </c>
      <c r="AO48" s="44">
        <v>1480.43460985874</v>
      </c>
      <c r="AP48" s="44">
        <v>55614749.532250203</v>
      </c>
      <c r="AQ48" s="44">
        <v>58973824.444281101</v>
      </c>
      <c r="AR48" s="44">
        <v>1823608.6162851499</v>
      </c>
      <c r="AS48" s="44">
        <v>45681181.642033398</v>
      </c>
      <c r="AT48" s="44">
        <v>13270.3800340329</v>
      </c>
      <c r="AU48" s="44">
        <v>3876.95109850782</v>
      </c>
      <c r="AV48" s="44">
        <v>15107230</v>
      </c>
      <c r="AW48" s="44">
        <v>274151142.45312399</v>
      </c>
      <c r="AX48" t="s">
        <v>385</v>
      </c>
      <c r="AY48">
        <v>2022</v>
      </c>
      <c r="AZ48">
        <v>1</v>
      </c>
      <c r="BA48" s="44">
        <v>57.151405615353198</v>
      </c>
      <c r="BB48" s="44">
        <v>343.07701969046298</v>
      </c>
      <c r="BC48" s="44">
        <v>309.88565054155498</v>
      </c>
      <c r="BD48" s="44">
        <v>604.29357426464605</v>
      </c>
      <c r="BE48" s="44">
        <v>20897250.0679245</v>
      </c>
      <c r="BF48" s="44">
        <v>21774134.006023299</v>
      </c>
      <c r="BG48" s="44">
        <v>4708216.5242686998</v>
      </c>
      <c r="BH48" s="44">
        <v>129086.432758015</v>
      </c>
      <c r="BI48" s="44">
        <v>352272.38681360299</v>
      </c>
      <c r="BJ48" s="44">
        <v>7416.4087189044603</v>
      </c>
      <c r="BK48" s="44">
        <v>14424.4102044675</v>
      </c>
      <c r="BL48" s="44">
        <v>69.083638278907699</v>
      </c>
      <c r="BM48" s="44">
        <v>78.327210382735004</v>
      </c>
      <c r="BN48" s="44">
        <v>415.305755881479</v>
      </c>
      <c r="BO48" s="44">
        <v>91.9466007616887</v>
      </c>
      <c r="BP48" t="s">
        <v>385</v>
      </c>
      <c r="BQ48">
        <v>2022</v>
      </c>
      <c r="BR48">
        <v>1</v>
      </c>
      <c r="BS48" s="44">
        <v>507.25235664316801</v>
      </c>
      <c r="BT48" s="44">
        <v>95.125712394997706</v>
      </c>
      <c r="BU48" s="44">
        <v>4083.6407098290201</v>
      </c>
      <c r="BV48" s="44">
        <v>37719.497560705502</v>
      </c>
      <c r="BW48" s="47">
        <v>2383.11826756341</v>
      </c>
      <c r="BX48" s="47">
        <v>103.81451751613901</v>
      </c>
      <c r="BY48" s="47">
        <v>1023.84490478892</v>
      </c>
      <c r="BZ48" s="47">
        <v>81.053182886313905</v>
      </c>
      <c r="CA48" s="47">
        <v>4318.5076033816804</v>
      </c>
      <c r="CB48" s="47">
        <v>71.011138751586799</v>
      </c>
      <c r="CC48" s="47">
        <v>19.587904815925199</v>
      </c>
      <c r="CD48" s="47">
        <v>90.599043567512098</v>
      </c>
      <c r="CE48" s="44">
        <v>74.3086157253598</v>
      </c>
    </row>
    <row r="49" spans="3:83" s="63" customFormat="1" ht="16" thickBot="1" x14ac:dyDescent="0.4">
      <c r="C49" s="63">
        <v>2</v>
      </c>
      <c r="D49" s="64">
        <v>958160.588308668</v>
      </c>
      <c r="E49" s="64">
        <v>6457.4108527131802</v>
      </c>
      <c r="F49" s="64">
        <v>6676.8300867703902</v>
      </c>
      <c r="G49" s="64">
        <v>7391.0340693622902</v>
      </c>
      <c r="H49" s="64">
        <v>5490.4318261621202</v>
      </c>
      <c r="I49" s="64">
        <v>6780.1011398319997</v>
      </c>
      <c r="J49" s="64">
        <v>291734.49755557399</v>
      </c>
      <c r="K49" s="64">
        <v>2490.1226940010201</v>
      </c>
      <c r="L49" s="64">
        <v>2214.7657982875498</v>
      </c>
      <c r="M49" s="64">
        <v>56.487241647084197</v>
      </c>
      <c r="N49" s="64">
        <v>55.807452597034199</v>
      </c>
      <c r="O49" s="64">
        <v>2507759.0050374102</v>
      </c>
      <c r="P49" s="64">
        <v>11.318392688328901</v>
      </c>
      <c r="S49" s="63">
        <v>2</v>
      </c>
      <c r="T49" s="64">
        <v>134.82922777732799</v>
      </c>
      <c r="U49" s="64">
        <v>144.66789563244501</v>
      </c>
      <c r="V49" s="64">
        <v>5114390.0947390804</v>
      </c>
      <c r="W49" s="64">
        <v>595808.219324879</v>
      </c>
      <c r="X49" s="64">
        <v>5710198.3140639598</v>
      </c>
      <c r="Y49" s="64">
        <v>972119.71714947501</v>
      </c>
      <c r="Z49" s="64">
        <v>176667.38957614201</v>
      </c>
      <c r="AA49" s="64">
        <v>53.432728033924903</v>
      </c>
      <c r="AB49" s="64">
        <v>37.005294546633202</v>
      </c>
      <c r="AC49" s="64">
        <v>59161041.976548001</v>
      </c>
      <c r="AD49" s="64">
        <v>56469217.420073897</v>
      </c>
      <c r="AE49" s="64">
        <v>0.11590948194365699</v>
      </c>
      <c r="AH49" s="63">
        <v>2</v>
      </c>
      <c r="AI49" s="64">
        <v>12828.623031629</v>
      </c>
      <c r="AJ49" s="64">
        <v>3.30012343340626E-3</v>
      </c>
      <c r="AK49" s="64">
        <v>2707512.7235637298</v>
      </c>
      <c r="AL49" s="64">
        <v>2472676.5131337298</v>
      </c>
      <c r="AM49" s="64">
        <v>1125181.37253194</v>
      </c>
      <c r="AN49" s="64">
        <v>5.2256867352726701E-2</v>
      </c>
      <c r="AO49" s="64">
        <v>1500.4009381911201</v>
      </c>
      <c r="AP49" s="64">
        <v>56469217.420073897</v>
      </c>
      <c r="AQ49" s="64">
        <v>59933277.564255603</v>
      </c>
      <c r="AR49" s="64">
        <v>1845817.7804773699</v>
      </c>
      <c r="AS49" s="64">
        <v>46170177.515605196</v>
      </c>
      <c r="AT49" s="64">
        <v>13441.482071955301</v>
      </c>
      <c r="AU49" s="64">
        <v>3888.11790820125</v>
      </c>
      <c r="AV49" s="64">
        <v>15117230</v>
      </c>
      <c r="AW49" s="64">
        <v>275265555.34170699</v>
      </c>
      <c r="AZ49" s="63">
        <v>2</v>
      </c>
      <c r="BA49" s="64">
        <v>57.4530161550394</v>
      </c>
      <c r="BB49" s="64">
        <v>344.52406612106</v>
      </c>
      <c r="BC49" s="64">
        <v>312.79521216541099</v>
      </c>
      <c r="BD49" s="64">
        <v>606.25743456770101</v>
      </c>
      <c r="BE49" s="64">
        <v>21111490.3055383</v>
      </c>
      <c r="BF49" s="64">
        <v>22005936.5311023</v>
      </c>
      <c r="BG49" s="64">
        <v>4781755.59824974</v>
      </c>
      <c r="BH49" s="64">
        <v>131978.66191286501</v>
      </c>
      <c r="BI49" s="64">
        <v>354634.65048753499</v>
      </c>
      <c r="BJ49" s="64">
        <v>7555.1008832347397</v>
      </c>
      <c r="BK49" s="64">
        <v>14583.4509629149</v>
      </c>
      <c r="BL49" s="64">
        <v>69.360753585609004</v>
      </c>
      <c r="BM49" s="64">
        <v>78.565652972476499</v>
      </c>
      <c r="BN49" s="64">
        <v>415.72808794533103</v>
      </c>
      <c r="BO49" s="64">
        <v>91.670772222672397</v>
      </c>
      <c r="BR49" s="63">
        <v>2</v>
      </c>
      <c r="BS49" s="64">
        <v>507.39886016800398</v>
      </c>
      <c r="BT49" s="64">
        <v>95.238853145342105</v>
      </c>
      <c r="BU49" s="64">
        <v>4114.6770926180998</v>
      </c>
      <c r="BV49" s="64">
        <v>37993.929169165101</v>
      </c>
      <c r="BW49" s="64">
        <v>2382.02956162386</v>
      </c>
      <c r="BX49" s="64">
        <v>103.911175809632</v>
      </c>
      <c r="BY49" s="64">
        <v>1032.47775788024</v>
      </c>
      <c r="BZ49" s="64">
        <v>81.135749939226997</v>
      </c>
      <c r="CA49" s="64">
        <v>4330.3670961294301</v>
      </c>
      <c r="CB49" s="64">
        <v>71.131754584987704</v>
      </c>
      <c r="CC49" s="64">
        <v>19.687896712854201</v>
      </c>
      <c r="CD49" s="64">
        <v>90.819651297841901</v>
      </c>
      <c r="CE49" s="64">
        <v>74.459114064230207</v>
      </c>
    </row>
    <row r="50" spans="3:83" x14ac:dyDescent="0.35">
      <c r="AV50" s="7"/>
    </row>
    <row r="51" spans="3:83" x14ac:dyDescent="0.35">
      <c r="AT51" s="7"/>
    </row>
    <row r="52" spans="3:83" x14ac:dyDescent="0.35">
      <c r="AT52" s="7"/>
    </row>
    <row r="53" spans="3:83" ht="15.5" x14ac:dyDescent="0.35">
      <c r="AN53" s="60"/>
      <c r="AT53" s="7"/>
    </row>
    <row r="54" spans="3:83" ht="15.5" x14ac:dyDescent="0.35">
      <c r="AN54" s="60"/>
      <c r="AT54" s="7"/>
    </row>
    <row r="55" spans="3:83" x14ac:dyDescent="0.35">
      <c r="AT55" s="7"/>
    </row>
    <row r="56" spans="3:83" x14ac:dyDescent="0.35">
      <c r="AT56" s="7"/>
    </row>
    <row r="57" spans="3:83" x14ac:dyDescent="0.35">
      <c r="AT57" s="7"/>
    </row>
    <row r="58" spans="3:83" x14ac:dyDescent="0.35">
      <c r="AT58" s="7"/>
    </row>
    <row r="59" spans="3:83" x14ac:dyDescent="0.35">
      <c r="AT59" s="7"/>
    </row>
    <row r="60" spans="3:83" x14ac:dyDescent="0.35">
      <c r="AT60" s="7"/>
    </row>
    <row r="61" spans="3:83" x14ac:dyDescent="0.35">
      <c r="AT61" s="7"/>
    </row>
    <row r="62" spans="3:83" x14ac:dyDescent="0.35">
      <c r="AT62" s="7"/>
    </row>
    <row r="63" spans="3:83" x14ac:dyDescent="0.35">
      <c r="AT63" s="7"/>
    </row>
    <row r="64" spans="3:83" x14ac:dyDescent="0.35">
      <c r="AT64" s="7"/>
    </row>
    <row r="65" spans="46:46" x14ac:dyDescent="0.35">
      <c r="AT65" s="7"/>
    </row>
    <row r="66" spans="46:46" x14ac:dyDescent="0.35">
      <c r="AT66" s="7"/>
    </row>
    <row r="67" spans="46:46" x14ac:dyDescent="0.35">
      <c r="AT67" s="7"/>
    </row>
  </sheetData>
  <phoneticPr fontId="21" type="noConversion"/>
  <pageMargins left="0.39370078740157483" right="0" top="0.51181102362204722" bottom="0.23622047244094491" header="0.31496062992125984" footer="0.15748031496062992"/>
  <pageSetup paperSize="9" scale="6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C57"/>
  <sheetViews>
    <sheetView topLeftCell="A51" workbookViewId="0">
      <selection activeCell="D2" sqref="D2"/>
    </sheetView>
  </sheetViews>
  <sheetFormatPr defaultRowHeight="14.5" x14ac:dyDescent="0.35"/>
  <cols>
    <col min="3" max="3" width="44.7265625" customWidth="1"/>
  </cols>
  <sheetData>
    <row r="1" spans="2:3" ht="15" thickBot="1" x14ac:dyDescent="0.4"/>
    <row r="2" spans="2:3" ht="16" thickBot="1" x14ac:dyDescent="0.4">
      <c r="B2" s="3">
        <v>1</v>
      </c>
      <c r="C2" s="1" t="s">
        <v>13</v>
      </c>
    </row>
    <row r="3" spans="2:3" ht="16" thickBot="1" x14ac:dyDescent="0.4">
      <c r="B3" s="4">
        <v>2</v>
      </c>
      <c r="C3" s="2" t="s">
        <v>14</v>
      </c>
    </row>
    <row r="4" spans="2:3" ht="16" thickBot="1" x14ac:dyDescent="0.4">
      <c r="B4" s="4">
        <v>3</v>
      </c>
      <c r="C4" s="2" t="s">
        <v>15</v>
      </c>
    </row>
    <row r="5" spans="2:3" ht="16" thickBot="1" x14ac:dyDescent="0.4">
      <c r="B5" s="4">
        <v>4</v>
      </c>
      <c r="C5" s="2" t="s">
        <v>16</v>
      </c>
    </row>
    <row r="6" spans="2:3" ht="16" thickBot="1" x14ac:dyDescent="0.4">
      <c r="B6" s="4">
        <v>5</v>
      </c>
      <c r="C6" s="2" t="s">
        <v>17</v>
      </c>
    </row>
    <row r="7" spans="2:3" ht="16" thickBot="1" x14ac:dyDescent="0.4">
      <c r="B7" s="4">
        <v>6</v>
      </c>
      <c r="C7" s="2" t="s">
        <v>18</v>
      </c>
    </row>
    <row r="8" spans="2:3" ht="16" thickBot="1" x14ac:dyDescent="0.4">
      <c r="B8" s="4">
        <v>7</v>
      </c>
      <c r="C8" s="2" t="s">
        <v>19</v>
      </c>
    </row>
    <row r="9" spans="2:3" ht="16" thickBot="1" x14ac:dyDescent="0.4">
      <c r="B9" s="4">
        <v>8</v>
      </c>
      <c r="C9" s="2" t="s">
        <v>1</v>
      </c>
    </row>
    <row r="10" spans="2:3" ht="16" thickBot="1" x14ac:dyDescent="0.4">
      <c r="B10" s="4">
        <v>9</v>
      </c>
      <c r="C10" s="2" t="s">
        <v>20</v>
      </c>
    </row>
    <row r="11" spans="2:3" ht="16" thickBot="1" x14ac:dyDescent="0.4">
      <c r="B11" s="4">
        <v>10</v>
      </c>
      <c r="C11" s="2" t="s">
        <v>2</v>
      </c>
    </row>
    <row r="12" spans="2:3" ht="16" thickBot="1" x14ac:dyDescent="0.4">
      <c r="B12" s="4">
        <v>11</v>
      </c>
      <c r="C12" s="2" t="s">
        <v>21</v>
      </c>
    </row>
    <row r="13" spans="2:3" ht="16" thickBot="1" x14ac:dyDescent="0.4">
      <c r="B13" s="4">
        <v>12</v>
      </c>
      <c r="C13" s="2" t="s">
        <v>13</v>
      </c>
    </row>
    <row r="14" spans="2:3" ht="16" thickBot="1" x14ac:dyDescent="0.4">
      <c r="B14" s="4">
        <v>13</v>
      </c>
      <c r="C14" s="2" t="s">
        <v>22</v>
      </c>
    </row>
    <row r="15" spans="2:3" ht="16" thickBot="1" x14ac:dyDescent="0.4">
      <c r="B15" s="4">
        <v>14</v>
      </c>
      <c r="C15" s="2" t="s">
        <v>23</v>
      </c>
    </row>
    <row r="16" spans="2:3" ht="16" thickBot="1" x14ac:dyDescent="0.4">
      <c r="B16" s="4">
        <v>15</v>
      </c>
      <c r="C16" s="2" t="s">
        <v>24</v>
      </c>
    </row>
    <row r="17" spans="2:3" ht="16" thickBot="1" x14ac:dyDescent="0.4">
      <c r="B17" s="4">
        <v>16</v>
      </c>
      <c r="C17" s="2" t="s">
        <v>3</v>
      </c>
    </row>
    <row r="18" spans="2:3" ht="16" thickBot="1" x14ac:dyDescent="0.4">
      <c r="B18" s="4">
        <v>17</v>
      </c>
      <c r="C18" s="2" t="s">
        <v>25</v>
      </c>
    </row>
    <row r="19" spans="2:3" ht="16" thickBot="1" x14ac:dyDescent="0.4">
      <c r="B19" s="4">
        <v>18</v>
      </c>
      <c r="C19" s="2" t="s">
        <v>4</v>
      </c>
    </row>
    <row r="20" spans="2:3" ht="16" thickBot="1" x14ac:dyDescent="0.4">
      <c r="B20" s="4">
        <v>19</v>
      </c>
      <c r="C20" s="2" t="s">
        <v>5</v>
      </c>
    </row>
    <row r="21" spans="2:3" ht="31.5" thickBot="1" x14ac:dyDescent="0.4">
      <c r="B21" s="4">
        <v>20</v>
      </c>
      <c r="C21" s="2" t="s">
        <v>6</v>
      </c>
    </row>
    <row r="22" spans="2:3" ht="31.5" thickBot="1" x14ac:dyDescent="0.4">
      <c r="B22" s="4">
        <v>21</v>
      </c>
      <c r="C22" s="2" t="s">
        <v>7</v>
      </c>
    </row>
    <row r="23" spans="2:3" ht="31.5" thickBot="1" x14ac:dyDescent="0.4">
      <c r="B23" s="4">
        <v>22</v>
      </c>
      <c r="C23" s="2" t="s">
        <v>8</v>
      </c>
    </row>
    <row r="24" spans="2:3" ht="16" thickBot="1" x14ac:dyDescent="0.4">
      <c r="B24" s="4">
        <v>23</v>
      </c>
      <c r="C24" s="2" t="s">
        <v>26</v>
      </c>
    </row>
    <row r="25" spans="2:3" ht="16" thickBot="1" x14ac:dyDescent="0.4">
      <c r="B25" s="4">
        <v>24</v>
      </c>
      <c r="C25" s="2" t="s">
        <v>9</v>
      </c>
    </row>
    <row r="26" spans="2:3" ht="16" thickBot="1" x14ac:dyDescent="0.4">
      <c r="B26" s="4">
        <v>25</v>
      </c>
      <c r="C26" s="2" t="s">
        <v>10</v>
      </c>
    </row>
    <row r="27" spans="2:3" ht="16" thickBot="1" x14ac:dyDescent="0.4">
      <c r="B27" s="4">
        <v>26</v>
      </c>
      <c r="C27" s="2" t="s">
        <v>11</v>
      </c>
    </row>
    <row r="28" spans="2:3" ht="16" thickBot="1" x14ac:dyDescent="0.4">
      <c r="B28" s="4">
        <v>27</v>
      </c>
      <c r="C28" s="2" t="s">
        <v>12</v>
      </c>
    </row>
    <row r="29" spans="2:3" ht="16" thickBot="1" x14ac:dyDescent="0.4">
      <c r="B29" s="4">
        <v>28</v>
      </c>
      <c r="C29" s="2" t="s">
        <v>27</v>
      </c>
    </row>
    <row r="30" spans="2:3" ht="16" thickBot="1" x14ac:dyDescent="0.4">
      <c r="B30" s="4">
        <v>29</v>
      </c>
      <c r="C30" s="2" t="s">
        <v>28</v>
      </c>
    </row>
    <row r="31" spans="2:3" ht="16" thickBot="1" x14ac:dyDescent="0.4">
      <c r="B31" s="4">
        <v>30</v>
      </c>
      <c r="C31" s="2" t="s">
        <v>29</v>
      </c>
    </row>
    <row r="32" spans="2:3" ht="31.5" thickBot="1" x14ac:dyDescent="0.4">
      <c r="B32" s="4">
        <v>31</v>
      </c>
      <c r="C32" s="2" t="s">
        <v>30</v>
      </c>
    </row>
    <row r="33" spans="2:3" ht="16" thickBot="1" x14ac:dyDescent="0.4">
      <c r="B33" s="4">
        <v>32</v>
      </c>
      <c r="C33" s="2" t="s">
        <v>31</v>
      </c>
    </row>
    <row r="34" spans="2:3" ht="16" thickBot="1" x14ac:dyDescent="0.4">
      <c r="B34" s="4">
        <v>33</v>
      </c>
      <c r="C34" s="2" t="s">
        <v>32</v>
      </c>
    </row>
    <row r="35" spans="2:3" ht="16" thickBot="1" x14ac:dyDescent="0.4">
      <c r="B35" s="4">
        <v>34</v>
      </c>
      <c r="C35" s="2" t="s">
        <v>33</v>
      </c>
    </row>
    <row r="36" spans="2:3" ht="31.5" thickBot="1" x14ac:dyDescent="0.4">
      <c r="B36" s="4">
        <v>35</v>
      </c>
      <c r="C36" s="2" t="s">
        <v>34</v>
      </c>
    </row>
    <row r="37" spans="2:3" ht="16" thickBot="1" x14ac:dyDescent="0.4">
      <c r="B37" s="4">
        <v>36</v>
      </c>
      <c r="C37" s="2" t="s">
        <v>35</v>
      </c>
    </row>
    <row r="38" spans="2:3" ht="16" thickBot="1" x14ac:dyDescent="0.4">
      <c r="B38" s="4">
        <v>37</v>
      </c>
      <c r="C38" s="2" t="s">
        <v>36</v>
      </c>
    </row>
    <row r="39" spans="2:3" ht="16" thickBot="1" x14ac:dyDescent="0.4">
      <c r="B39" s="4">
        <v>38</v>
      </c>
      <c r="C39" s="2" t="s">
        <v>37</v>
      </c>
    </row>
    <row r="40" spans="2:3" ht="16" thickBot="1" x14ac:dyDescent="0.4">
      <c r="B40" s="4">
        <v>39</v>
      </c>
      <c r="C40" s="2" t="s">
        <v>38</v>
      </c>
    </row>
    <row r="41" spans="2:3" ht="16" thickBot="1" x14ac:dyDescent="0.4">
      <c r="B41" s="4">
        <v>40</v>
      </c>
      <c r="C41" s="2" t="s">
        <v>39</v>
      </c>
    </row>
    <row r="42" spans="2:3" ht="16" thickBot="1" x14ac:dyDescent="0.4">
      <c r="B42" s="4">
        <v>41</v>
      </c>
      <c r="C42" s="2" t="s">
        <v>40</v>
      </c>
    </row>
    <row r="43" spans="2:3" ht="16" thickBot="1" x14ac:dyDescent="0.4">
      <c r="B43" s="4">
        <v>42</v>
      </c>
      <c r="C43" s="2" t="s">
        <v>41</v>
      </c>
    </row>
    <row r="44" spans="2:3" ht="16" thickBot="1" x14ac:dyDescent="0.4">
      <c r="B44" s="4">
        <v>43</v>
      </c>
      <c r="C44" s="2" t="s">
        <v>42</v>
      </c>
    </row>
    <row r="45" spans="2:3" ht="16" thickBot="1" x14ac:dyDescent="0.4">
      <c r="B45" s="4">
        <v>44</v>
      </c>
      <c r="C45" s="2" t="s">
        <v>43</v>
      </c>
    </row>
    <row r="46" spans="2:3" ht="16" thickBot="1" x14ac:dyDescent="0.4">
      <c r="B46" s="4">
        <v>45</v>
      </c>
      <c r="C46" s="2" t="s">
        <v>44</v>
      </c>
    </row>
    <row r="47" spans="2:3" ht="31.5" thickBot="1" x14ac:dyDescent="0.4">
      <c r="B47" s="4">
        <v>46</v>
      </c>
      <c r="C47" s="2" t="s">
        <v>45</v>
      </c>
    </row>
    <row r="48" spans="2:3" ht="16" thickBot="1" x14ac:dyDescent="0.4">
      <c r="B48" s="4">
        <v>47</v>
      </c>
      <c r="C48" s="2" t="s">
        <v>46</v>
      </c>
    </row>
    <row r="49" spans="2:3" ht="16" thickBot="1" x14ac:dyDescent="0.4">
      <c r="B49" s="4">
        <v>48</v>
      </c>
      <c r="C49" s="2" t="s">
        <v>47</v>
      </c>
    </row>
    <row r="50" spans="2:3" ht="31.5" thickBot="1" x14ac:dyDescent="0.4">
      <c r="B50" s="4">
        <v>49</v>
      </c>
      <c r="C50" s="2" t="s">
        <v>48</v>
      </c>
    </row>
    <row r="51" spans="2:3" ht="16" thickBot="1" x14ac:dyDescent="0.4">
      <c r="B51" s="4">
        <v>50</v>
      </c>
      <c r="C51" s="2" t="s">
        <v>49</v>
      </c>
    </row>
    <row r="52" spans="2:3" ht="16" thickBot="1" x14ac:dyDescent="0.4">
      <c r="B52" s="4">
        <v>51</v>
      </c>
      <c r="C52" s="2" t="s">
        <v>50</v>
      </c>
    </row>
    <row r="53" spans="2:3" ht="16" thickBot="1" x14ac:dyDescent="0.4">
      <c r="B53" s="4">
        <v>52</v>
      </c>
      <c r="C53" s="2" t="s">
        <v>51</v>
      </c>
    </row>
    <row r="54" spans="2:3" ht="16" thickBot="1" x14ac:dyDescent="0.4">
      <c r="B54" s="4">
        <v>53</v>
      </c>
      <c r="C54" s="2" t="s">
        <v>52</v>
      </c>
    </row>
    <row r="55" spans="2:3" ht="16" thickBot="1" x14ac:dyDescent="0.4">
      <c r="B55" s="4">
        <v>54</v>
      </c>
      <c r="C55" s="2" t="s">
        <v>53</v>
      </c>
    </row>
    <row r="56" spans="2:3" ht="16" thickBot="1" x14ac:dyDescent="0.4">
      <c r="B56" s="4">
        <v>55</v>
      </c>
      <c r="C56" s="2" t="s">
        <v>54</v>
      </c>
    </row>
    <row r="57" spans="2:3" ht="31.5" thickBot="1" x14ac:dyDescent="0.4">
      <c r="B57" s="4">
        <v>56</v>
      </c>
      <c r="C57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1</vt:i4>
      </vt:variant>
    </vt:vector>
  </HeadingPairs>
  <TitlesOfParts>
    <vt:vector size="43" baseType="lpstr">
      <vt:lpstr>Persamaan Total</vt:lpstr>
      <vt:lpstr>Persamaan NI 1</vt:lpstr>
      <vt:lpstr>Eq NI 1</vt:lpstr>
      <vt:lpstr>Persamaan NI 2</vt:lpstr>
      <vt:lpstr>Eq NI 2</vt:lpstr>
      <vt:lpstr>Persamaan NI 3</vt:lpstr>
      <vt:lpstr>Eq NI 3</vt:lpstr>
      <vt:lpstr>Persamaan 1</vt:lpstr>
      <vt:lpstr>Eq1</vt:lpstr>
      <vt:lpstr>Data Persamaan 1</vt:lpstr>
      <vt:lpstr>Persamaan 2</vt:lpstr>
      <vt:lpstr>Eq2</vt:lpstr>
      <vt:lpstr>Data Persamaan 2</vt:lpstr>
      <vt:lpstr>Persamaan 3</vt:lpstr>
      <vt:lpstr>Eq3</vt:lpstr>
      <vt:lpstr>Data Persamaan 3</vt:lpstr>
      <vt:lpstr>Persamaan 4</vt:lpstr>
      <vt:lpstr>Eq4</vt:lpstr>
      <vt:lpstr>Data Persamaan 4</vt:lpstr>
      <vt:lpstr>Persamaan 5</vt:lpstr>
      <vt:lpstr>Eq5</vt:lpstr>
      <vt:lpstr>Data Persamaan 5</vt:lpstr>
      <vt:lpstr>Data Persamaan 6</vt:lpstr>
      <vt:lpstr>Persamaan 7</vt:lpstr>
      <vt:lpstr>Eq7</vt:lpstr>
      <vt:lpstr>Data Persamaan 7</vt:lpstr>
      <vt:lpstr>Persamaan 8</vt:lpstr>
      <vt:lpstr>Eq8</vt:lpstr>
      <vt:lpstr>Data Persamaan 8</vt:lpstr>
      <vt:lpstr>Data Persamaan 9</vt:lpstr>
      <vt:lpstr>Persamaan 10</vt:lpstr>
      <vt:lpstr>Eq10</vt:lpstr>
      <vt:lpstr>Data Persamaan 10</vt:lpstr>
      <vt:lpstr>Persamaan 11</vt:lpstr>
      <vt:lpstr>Eq11</vt:lpstr>
      <vt:lpstr>Data Persamaan 11</vt:lpstr>
      <vt:lpstr>Persamaan 12</vt:lpstr>
      <vt:lpstr>Eq12</vt:lpstr>
      <vt:lpstr>Data Persamaan 12</vt:lpstr>
      <vt:lpstr>Input</vt:lpstr>
      <vt:lpstr>Data Mentah</vt:lpstr>
      <vt:lpstr>Variabel</vt:lpstr>
      <vt:lpstr>'Data Mentah'!Print_Area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Juli Yandi Rahman</cp:lastModifiedBy>
  <cp:lastPrinted>2024-09-01T14:25:55Z</cp:lastPrinted>
  <dcterms:created xsi:type="dcterms:W3CDTF">2021-10-12T07:18:39Z</dcterms:created>
  <dcterms:modified xsi:type="dcterms:W3CDTF">2024-09-20T14:10:21Z</dcterms:modified>
</cp:coreProperties>
</file>