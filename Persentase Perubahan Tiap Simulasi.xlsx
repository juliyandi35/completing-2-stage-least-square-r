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Project P37590924 (Completing 2 Stage Least Square)\"/>
    </mc:Choice>
  </mc:AlternateContent>
  <xr:revisionPtr revIDLastSave="0" documentId="13_ncr:1_{E2324395-3970-4F6D-A8AB-44CE77D4E25C}" xr6:coauthVersionLast="47" xr6:coauthVersionMax="47" xr10:uidLastSave="{00000000-0000-0000-0000-000000000000}"/>
  <bookViews>
    <workbookView xWindow="-110" yWindow="-110" windowWidth="19420" windowHeight="10300" xr2:uid="{DFA7AEC3-92E1-4A8D-AF48-4C31EB961896}"/>
  </bookViews>
  <sheets>
    <sheet name="Sheet1" sheetId="1" r:id="rId1"/>
    <sheet name="Sheet2" sheetId="2" r:id="rId2"/>
  </sheets>
  <definedNames>
    <definedName name="_Hlk137195234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M4" i="1"/>
  <c r="M5" i="1"/>
  <c r="M6" i="1"/>
  <c r="M7" i="1"/>
  <c r="M8" i="1"/>
  <c r="M9" i="1"/>
  <c r="M10" i="1"/>
  <c r="M11" i="1"/>
  <c r="M12" i="1"/>
  <c r="M13" i="1"/>
  <c r="M3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<sst xmlns="http://schemas.openxmlformats.org/spreadsheetml/2006/main" count="46" uniqueCount="21">
  <si>
    <t>Indikator Kesejahterahan</t>
  </si>
  <si>
    <t>Nilai dasar</t>
  </si>
  <si>
    <t>Pertumbuhan (%)</t>
  </si>
  <si>
    <t>Sim1</t>
  </si>
  <si>
    <t>Sim2</t>
  </si>
  <si>
    <t>Sim3</t>
  </si>
  <si>
    <t>Sim4</t>
  </si>
  <si>
    <t>Sim5</t>
  </si>
  <si>
    <t>Luas areal padi sawah di Sumatera Utara</t>
  </si>
  <si>
    <t>Produktivitas padi sawah di Sumatera Utara (ton/ha)</t>
  </si>
  <si>
    <t>Penggunaan pupuk di Sumatera Utara (Kg/Ha)</t>
  </si>
  <si>
    <t>Jumlah Stok Beras Nasional Akhir Tahun di Bulog (1000 ton)</t>
  </si>
  <si>
    <t>Jumlah konsumsi beras untuk pangan (1000 ton)</t>
  </si>
  <si>
    <t>Harga eceran beras di pasar domestik secara nasional (Rp/kg) dideflasi dengan indeks harga pedagang besar Indonesia</t>
  </si>
  <si>
    <t>Harga eceran beras di wilayah Sumatera Utara (Rp/kg) dideflasi dengan indeks harga pedagang besar Indonesia</t>
  </si>
  <si>
    <t>Harga gabah di tingkat petani secara nasional</t>
  </si>
  <si>
    <t>Harga gabah di tingkat petani di wilayah Sumatera Utara</t>
  </si>
  <si>
    <t>Jumlah impor beras oleh Indonesia (1000 ton)</t>
  </si>
  <si>
    <t>Nilai Akses Pangan di Sumatera Utara</t>
  </si>
  <si>
    <t>Perubahan</t>
  </si>
  <si>
    <t>Rata-rata Pertumbuhan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</si>
</sst>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7842-F9EC-4FE5-9B70-1FFC335065AB}">
  <dimension ref="A1:M20"/>
  <sheetViews>
    <sheetView tabSelected="1" workbookViewId="0">
      <selection activeCell="L3" sqref="L3"/>
    </sheetView>
  </sheetViews>
  <sheetFormatPr defaultRowHeight="14.5" x14ac:dyDescent="0.35"/>
  <cols>
    <col min="8" max="8" width="11" bestFit="1" customWidth="1"/>
    <col min="13" max="13" width="13.36328125" bestFit="1" customWidth="1"/>
  </cols>
  <sheetData>
    <row r="1" spans="1:13" ht="24" customHeight="1" x14ac:dyDescent="0.35">
      <c r="A1" s="7" t="s">
        <v>0</v>
      </c>
      <c r="B1" s="7" t="s">
        <v>1</v>
      </c>
      <c r="C1" s="9" t="s">
        <v>19</v>
      </c>
      <c r="D1" s="9"/>
      <c r="E1" s="9"/>
      <c r="F1" s="9"/>
      <c r="G1" s="9"/>
      <c r="H1" s="9" t="s">
        <v>2</v>
      </c>
      <c r="I1" s="9"/>
      <c r="J1" s="9"/>
      <c r="K1" s="9"/>
      <c r="L1" s="9"/>
      <c r="M1" s="7" t="s">
        <v>20</v>
      </c>
    </row>
    <row r="2" spans="1:13" x14ac:dyDescent="0.35">
      <c r="A2" s="8"/>
      <c r="B2" s="8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8"/>
    </row>
    <row r="3" spans="1:13" ht="65" x14ac:dyDescent="0.35">
      <c r="A3" s="3" t="s">
        <v>8</v>
      </c>
      <c r="B3" s="1">
        <v>375.8</v>
      </c>
      <c r="C3" s="1">
        <v>925.14</v>
      </c>
      <c r="D3" s="1">
        <v>951.13</v>
      </c>
      <c r="E3" s="1">
        <v>977.12</v>
      </c>
      <c r="F3" s="4">
        <v>1003.1</v>
      </c>
      <c r="G3" s="4">
        <v>1029.0899999999999</v>
      </c>
      <c r="H3" s="1">
        <f>((C3-$B$3)/$B$3)*100</f>
        <v>146.17881852048959</v>
      </c>
      <c r="I3" s="1">
        <f t="shared" ref="I3:L3" si="0">((D3-$B$3)/$B$3)*100</f>
        <v>153.09473124002128</v>
      </c>
      <c r="J3" s="1">
        <f t="shared" si="0"/>
        <v>160.01064395955294</v>
      </c>
      <c r="K3" s="1">
        <f t="shared" si="0"/>
        <v>166.92389568919637</v>
      </c>
      <c r="L3" s="1">
        <f t="shared" si="0"/>
        <v>173.83980840872803</v>
      </c>
      <c r="M3" s="1">
        <f>AVERAGE(H3:L3)</f>
        <v>160.00957956359761</v>
      </c>
    </row>
    <row r="4" spans="1:13" ht="78" x14ac:dyDescent="0.35">
      <c r="A4" s="3" t="s">
        <v>9</v>
      </c>
      <c r="B4" s="1">
        <v>31.33</v>
      </c>
      <c r="C4" s="1">
        <v>56.01</v>
      </c>
      <c r="D4" s="1">
        <v>56.74</v>
      </c>
      <c r="E4" s="1">
        <v>57.47</v>
      </c>
      <c r="F4" s="1">
        <v>58.2</v>
      </c>
      <c r="G4" s="1">
        <v>58.94</v>
      </c>
      <c r="H4" s="1">
        <f>((C4-$B$4)/$B$4)*100</f>
        <v>78.774337695499526</v>
      </c>
      <c r="I4" s="1">
        <f t="shared" ref="I4:L4" si="1">((D4-$B$4)/$B$4)*100</f>
        <v>81.104372805617629</v>
      </c>
      <c r="J4" s="1">
        <f t="shared" si="1"/>
        <v>83.434407915735719</v>
      </c>
      <c r="K4" s="1">
        <f t="shared" si="1"/>
        <v>85.764443025853836</v>
      </c>
      <c r="L4" s="1">
        <f t="shared" si="1"/>
        <v>88.126396425151611</v>
      </c>
      <c r="M4" s="1">
        <f t="shared" ref="M4:M13" si="2">AVERAGE(H4:L4)</f>
        <v>83.440791573571659</v>
      </c>
    </row>
    <row r="5" spans="1:13" ht="65" x14ac:dyDescent="0.35">
      <c r="A5" s="3" t="s">
        <v>10</v>
      </c>
      <c r="B5" s="1">
        <v>129</v>
      </c>
      <c r="C5" s="1">
        <v>134</v>
      </c>
      <c r="D5" s="1">
        <v>135</v>
      </c>
      <c r="E5" s="1">
        <v>135</v>
      </c>
      <c r="F5" s="1">
        <v>136</v>
      </c>
      <c r="G5" s="1">
        <v>136</v>
      </c>
      <c r="H5" s="1">
        <f>((C5-$B$5)/$B$5)*100</f>
        <v>3.8759689922480618</v>
      </c>
      <c r="I5" s="1">
        <f t="shared" ref="I5:L5" si="3">((D5-$B$5)/$B$5)*100</f>
        <v>4.6511627906976747</v>
      </c>
      <c r="J5" s="1">
        <f t="shared" si="3"/>
        <v>4.6511627906976747</v>
      </c>
      <c r="K5" s="1">
        <f t="shared" si="3"/>
        <v>5.4263565891472867</v>
      </c>
      <c r="L5" s="1">
        <f t="shared" si="3"/>
        <v>5.4263565891472867</v>
      </c>
      <c r="M5" s="1">
        <f t="shared" si="2"/>
        <v>4.8062015503875966</v>
      </c>
    </row>
    <row r="6" spans="1:13" ht="91" x14ac:dyDescent="0.35">
      <c r="A6" s="3" t="s">
        <v>11</v>
      </c>
      <c r="B6" s="1">
        <v>922.23</v>
      </c>
      <c r="C6" s="4">
        <v>1868.03</v>
      </c>
      <c r="D6" s="4">
        <v>1890.24</v>
      </c>
      <c r="E6" s="4">
        <v>1912.45</v>
      </c>
      <c r="F6" s="4">
        <v>1934.65</v>
      </c>
      <c r="G6" s="4">
        <v>1956.86</v>
      </c>
      <c r="H6" s="1">
        <f>((C6-$B$6)/$B$6)*100</f>
        <v>102.5557615779144</v>
      </c>
      <c r="I6" s="1">
        <f t="shared" ref="I6:L6" si="4">((D6-$B$6)/$B$6)*100</f>
        <v>104.9640545200221</v>
      </c>
      <c r="J6" s="1">
        <f t="shared" si="4"/>
        <v>107.37234746212985</v>
      </c>
      <c r="K6" s="1">
        <f t="shared" si="4"/>
        <v>109.77955607603309</v>
      </c>
      <c r="L6" s="1">
        <f t="shared" si="4"/>
        <v>112.18784901814081</v>
      </c>
      <c r="M6" s="1">
        <f t="shared" si="2"/>
        <v>107.37191373084806</v>
      </c>
    </row>
    <row r="7" spans="1:13" ht="78" x14ac:dyDescent="0.35">
      <c r="A7" s="3" t="s">
        <v>12</v>
      </c>
      <c r="B7" s="5">
        <v>27275</v>
      </c>
      <c r="C7" s="5">
        <v>46659</v>
      </c>
      <c r="D7" s="5">
        <v>47148</v>
      </c>
      <c r="E7" s="5">
        <v>47637</v>
      </c>
      <c r="F7" s="5">
        <v>48126</v>
      </c>
      <c r="G7" s="5">
        <v>48615</v>
      </c>
      <c r="H7" s="1">
        <f>((C7-$B$7)/$B$7)*100</f>
        <v>71.06874427131072</v>
      </c>
      <c r="I7" s="1">
        <f t="shared" ref="I7:L7" si="5">((D7-$B$7)/$B$7)*100</f>
        <v>72.861594867094396</v>
      </c>
      <c r="J7" s="1">
        <f t="shared" si="5"/>
        <v>74.654445462878101</v>
      </c>
      <c r="K7" s="1">
        <f t="shared" si="5"/>
        <v>76.447296058661777</v>
      </c>
      <c r="L7" s="1">
        <f t="shared" si="5"/>
        <v>78.240146654445468</v>
      </c>
      <c r="M7" s="1">
        <f t="shared" si="2"/>
        <v>74.654445462878101</v>
      </c>
    </row>
    <row r="8" spans="1:13" ht="195" x14ac:dyDescent="0.35">
      <c r="A8" s="3" t="s">
        <v>13</v>
      </c>
      <c r="B8" s="5">
        <v>6394</v>
      </c>
      <c r="C8" s="5">
        <v>12298</v>
      </c>
      <c r="D8" s="5">
        <v>13166</v>
      </c>
      <c r="E8" s="5">
        <v>13335</v>
      </c>
      <c r="F8" s="5">
        <v>13504</v>
      </c>
      <c r="G8" s="5">
        <v>13673</v>
      </c>
      <c r="H8" s="1">
        <f>((C8-$B$8)/$B$8)*100</f>
        <v>92.336565530184544</v>
      </c>
      <c r="I8" s="1">
        <f t="shared" ref="I8:L8" si="6">((D8-$B$8)/$B$8)*100</f>
        <v>105.9117923052862</v>
      </c>
      <c r="J8" s="1">
        <f t="shared" si="6"/>
        <v>108.55489521426338</v>
      </c>
      <c r="K8" s="1">
        <f t="shared" si="6"/>
        <v>111.19799812324054</v>
      </c>
      <c r="L8" s="1">
        <f t="shared" si="6"/>
        <v>113.84110103221769</v>
      </c>
      <c r="M8" s="1">
        <f t="shared" si="2"/>
        <v>106.36847044103847</v>
      </c>
    </row>
    <row r="9" spans="1:13" ht="182" x14ac:dyDescent="0.35">
      <c r="A9" s="3" t="s">
        <v>14</v>
      </c>
      <c r="B9" s="5">
        <v>2073</v>
      </c>
      <c r="C9" s="5">
        <v>7512</v>
      </c>
      <c r="D9" s="5">
        <v>7632</v>
      </c>
      <c r="E9" s="5">
        <v>7753</v>
      </c>
      <c r="F9" s="5">
        <v>7874</v>
      </c>
      <c r="G9" s="5">
        <v>7994</v>
      </c>
      <c r="H9" s="1">
        <f>((C9-$B$9)/B9)*100</f>
        <v>262.37337192474672</v>
      </c>
      <c r="I9" s="1">
        <f t="shared" ref="I9:L9" si="7">((D9-$B$9)/C9)*100</f>
        <v>74.001597444089455</v>
      </c>
      <c r="J9" s="1">
        <f t="shared" si="7"/>
        <v>74.423480083857442</v>
      </c>
      <c r="K9" s="1">
        <f t="shared" si="7"/>
        <v>74.822649297046311</v>
      </c>
      <c r="L9" s="1">
        <f t="shared" si="7"/>
        <v>75.196850393700785</v>
      </c>
      <c r="M9" s="1">
        <f t="shared" si="2"/>
        <v>112.16358982868815</v>
      </c>
    </row>
    <row r="10" spans="1:13" ht="78" x14ac:dyDescent="0.35">
      <c r="A10" s="3" t="s">
        <v>15</v>
      </c>
      <c r="B10" s="5">
        <v>1890</v>
      </c>
      <c r="C10" s="5">
        <v>6173</v>
      </c>
      <c r="D10" s="5">
        <v>6382</v>
      </c>
      <c r="E10" s="5">
        <v>6592</v>
      </c>
      <c r="F10" s="5">
        <v>6801</v>
      </c>
      <c r="G10" s="5">
        <v>7010</v>
      </c>
      <c r="H10" s="1">
        <f>((C10-$B$10)/$B$10)*100</f>
        <v>226.61375661375664</v>
      </c>
      <c r="I10" s="1">
        <f t="shared" ref="I10:L10" si="8">((D10-$B$10)/$B$10)*100</f>
        <v>237.67195767195767</v>
      </c>
      <c r="J10" s="1">
        <f t="shared" si="8"/>
        <v>248.78306878306879</v>
      </c>
      <c r="K10" s="1">
        <f t="shared" si="8"/>
        <v>259.84126984126988</v>
      </c>
      <c r="L10" s="1">
        <f t="shared" si="8"/>
        <v>270.89947089947088</v>
      </c>
      <c r="M10" s="1">
        <f t="shared" si="2"/>
        <v>248.76190476190476</v>
      </c>
    </row>
    <row r="11" spans="1:13" ht="91" x14ac:dyDescent="0.35">
      <c r="A11" s="3" t="s">
        <v>16</v>
      </c>
      <c r="B11" s="5">
        <v>11779</v>
      </c>
      <c r="C11" s="5">
        <v>21885</v>
      </c>
      <c r="D11" s="5">
        <v>22117</v>
      </c>
      <c r="E11" s="5">
        <v>22348</v>
      </c>
      <c r="F11" s="5">
        <v>22580</v>
      </c>
      <c r="G11" s="5">
        <v>22811</v>
      </c>
      <c r="H11" s="1">
        <f>((C11-$B$11)/$B$11)*100</f>
        <v>85.796756940317508</v>
      </c>
      <c r="I11" s="1">
        <f t="shared" ref="I11:L11" si="9">((D11-$B$11)/$B$11)*100</f>
        <v>87.766363867900495</v>
      </c>
      <c r="J11" s="1">
        <f t="shared" si="9"/>
        <v>89.727481110450796</v>
      </c>
      <c r="K11" s="1">
        <f t="shared" si="9"/>
        <v>91.697088038033797</v>
      </c>
      <c r="L11" s="1">
        <f t="shared" si="9"/>
        <v>93.658205280584099</v>
      </c>
      <c r="M11" s="1">
        <f t="shared" si="2"/>
        <v>89.729179047457336</v>
      </c>
    </row>
    <row r="12" spans="1:13" ht="65" x14ac:dyDescent="0.35">
      <c r="A12" s="3" t="s">
        <v>17</v>
      </c>
      <c r="B12" s="4">
        <v>1171.5999999999999</v>
      </c>
      <c r="C12" s="4">
        <v>1115.81</v>
      </c>
      <c r="D12" s="4">
        <v>1106.44</v>
      </c>
      <c r="E12" s="4">
        <v>1097.08</v>
      </c>
      <c r="F12" s="4">
        <v>1087.71</v>
      </c>
      <c r="G12" s="4">
        <v>1078.3399999999999</v>
      </c>
      <c r="H12" s="1">
        <f>((C12-$B$12)/$B$12)*100</f>
        <v>-4.7618641174462244</v>
      </c>
      <c r="I12" s="1">
        <f t="shared" ref="I12:L12" si="10">((D12-$B$12)/$B$12)*100</f>
        <v>-5.5616251280300322</v>
      </c>
      <c r="J12" s="1">
        <f t="shared" si="10"/>
        <v>-6.3605326049846349</v>
      </c>
      <c r="K12" s="1">
        <f t="shared" si="10"/>
        <v>-7.1602936155684427</v>
      </c>
      <c r="L12" s="1">
        <f t="shared" si="10"/>
        <v>-7.96005462615227</v>
      </c>
      <c r="M12" s="1">
        <f t="shared" si="2"/>
        <v>-6.3608740184363208</v>
      </c>
    </row>
    <row r="13" spans="1:13" ht="65" x14ac:dyDescent="0.35">
      <c r="A13" s="6" t="s">
        <v>18</v>
      </c>
      <c r="B13" s="2">
        <v>59.86</v>
      </c>
      <c r="C13" s="2">
        <v>70.55</v>
      </c>
      <c r="D13" s="2">
        <v>70.849999999999994</v>
      </c>
      <c r="E13" s="2">
        <v>71.16</v>
      </c>
      <c r="F13" s="2">
        <v>71.459999999999994</v>
      </c>
      <c r="G13" s="2">
        <v>71.77</v>
      </c>
      <c r="H13" s="2">
        <f>((C13-B13)/B13)*100</f>
        <v>17.858336117607749</v>
      </c>
      <c r="I13" s="2">
        <f t="shared" ref="I13:L13" si="11">((D13-C13)/C13)*100</f>
        <v>0.42523033309709024</v>
      </c>
      <c r="J13" s="2">
        <f t="shared" si="11"/>
        <v>0.43754410726888116</v>
      </c>
      <c r="K13" s="2">
        <f t="shared" si="11"/>
        <v>0.42158516020235687</v>
      </c>
      <c r="L13" s="2">
        <f t="shared" si="11"/>
        <v>0.43380912398544963</v>
      </c>
      <c r="M13" s="2">
        <f t="shared" si="2"/>
        <v>3.9153009684323061</v>
      </c>
    </row>
    <row r="14" spans="1:13" x14ac:dyDescent="0.35">
      <c r="H14" s="1"/>
    </row>
    <row r="15" spans="1:13" x14ac:dyDescent="0.35">
      <c r="H15" s="1"/>
    </row>
    <row r="16" spans="1:13" x14ac:dyDescent="0.35">
      <c r="H16" s="1"/>
    </row>
    <row r="17" spans="8:8" x14ac:dyDescent="0.35">
      <c r="H17" s="1"/>
    </row>
    <row r="18" spans="8:8" x14ac:dyDescent="0.35">
      <c r="H18" s="1"/>
    </row>
    <row r="19" spans="8:8" x14ac:dyDescent="0.35">
      <c r="H19" s="1"/>
    </row>
    <row r="20" spans="8:8" x14ac:dyDescent="0.35">
      <c r="H20" s="1"/>
    </row>
  </sheetData>
  <mergeCells count="5">
    <mergeCell ref="A1:A2"/>
    <mergeCell ref="B1:B2"/>
    <mergeCell ref="H1:L1"/>
    <mergeCell ref="M1:M2"/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363A-6D0B-4B4E-A367-49740412E710}">
  <dimension ref="A1:H13"/>
  <sheetViews>
    <sheetView workbookViewId="0">
      <selection activeCell="D4" sqref="D4"/>
    </sheetView>
  </sheetViews>
  <sheetFormatPr defaultRowHeight="14.5" x14ac:dyDescent="0.35"/>
  <sheetData>
    <row r="1" spans="1:8" x14ac:dyDescent="0.35">
      <c r="A1" s="7" t="s">
        <v>0</v>
      </c>
      <c r="B1" s="7" t="s">
        <v>1</v>
      </c>
      <c r="C1" s="9" t="s">
        <v>2</v>
      </c>
      <c r="D1" s="9"/>
      <c r="E1" s="9"/>
      <c r="F1" s="9"/>
      <c r="G1" s="9"/>
      <c r="H1" s="7" t="s">
        <v>20</v>
      </c>
    </row>
    <row r="2" spans="1:8" ht="25" customHeight="1" x14ac:dyDescent="0.35">
      <c r="A2" s="8"/>
      <c r="B2" s="8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8"/>
    </row>
    <row r="3" spans="1:8" ht="65" x14ac:dyDescent="0.35">
      <c r="A3" s="3" t="s">
        <v>8</v>
      </c>
      <c r="B3" s="1">
        <v>375.8</v>
      </c>
      <c r="C3" s="1">
        <v>146.17881852048959</v>
      </c>
      <c r="D3" s="1">
        <v>153.09473124002128</v>
      </c>
      <c r="E3" s="1">
        <v>160.01064395955294</v>
      </c>
      <c r="F3" s="1">
        <v>166.92389568919637</v>
      </c>
      <c r="G3" s="1">
        <v>173.83980840872803</v>
      </c>
      <c r="H3" s="1">
        <v>160.00957956359761</v>
      </c>
    </row>
    <row r="4" spans="1:8" ht="78" x14ac:dyDescent="0.35">
      <c r="A4" s="3" t="s">
        <v>9</v>
      </c>
      <c r="B4" s="1">
        <v>31.33</v>
      </c>
      <c r="C4" s="1">
        <v>78.774337695499526</v>
      </c>
      <c r="D4" s="1">
        <v>81.104372805617629</v>
      </c>
      <c r="E4" s="1">
        <v>83.434407915735719</v>
      </c>
      <c r="F4" s="1">
        <v>85.764443025853836</v>
      </c>
      <c r="G4" s="1">
        <v>88.126396425151611</v>
      </c>
      <c r="H4" s="1">
        <v>83.440791573571659</v>
      </c>
    </row>
    <row r="5" spans="1:8" ht="65" x14ac:dyDescent="0.35">
      <c r="A5" s="3" t="s">
        <v>10</v>
      </c>
      <c r="B5" s="1">
        <v>129</v>
      </c>
      <c r="C5" s="1">
        <v>3.8759689922480618</v>
      </c>
      <c r="D5" s="1">
        <v>4.6511627906976747</v>
      </c>
      <c r="E5" s="1">
        <v>4.6511627906976747</v>
      </c>
      <c r="F5" s="1">
        <v>5.4263565891472867</v>
      </c>
      <c r="G5" s="1">
        <v>5.4263565891472867</v>
      </c>
      <c r="H5" s="1">
        <v>4.8062015503875966</v>
      </c>
    </row>
    <row r="6" spans="1:8" ht="91" x14ac:dyDescent="0.35">
      <c r="A6" s="3" t="s">
        <v>11</v>
      </c>
      <c r="B6" s="1">
        <v>922.23</v>
      </c>
      <c r="C6" s="1">
        <v>102.5557615779144</v>
      </c>
      <c r="D6" s="1">
        <v>104.9640545200221</v>
      </c>
      <c r="E6" s="1">
        <v>107.37234746212985</v>
      </c>
      <c r="F6" s="1">
        <v>109.77955607603309</v>
      </c>
      <c r="G6" s="1">
        <v>112.18784901814081</v>
      </c>
      <c r="H6" s="1">
        <v>107.37191373084806</v>
      </c>
    </row>
    <row r="7" spans="1:8" ht="78" x14ac:dyDescent="0.35">
      <c r="A7" s="3" t="s">
        <v>12</v>
      </c>
      <c r="B7" s="5">
        <v>27275</v>
      </c>
      <c r="C7" s="1">
        <v>71.06874427131072</v>
      </c>
      <c r="D7" s="1">
        <v>72.861594867094396</v>
      </c>
      <c r="E7" s="1">
        <v>74.654445462878101</v>
      </c>
      <c r="F7" s="1">
        <v>76.447296058661777</v>
      </c>
      <c r="G7" s="1">
        <v>78.240146654445468</v>
      </c>
      <c r="H7" s="1">
        <v>74.654445462878101</v>
      </c>
    </row>
    <row r="8" spans="1:8" ht="195" x14ac:dyDescent="0.35">
      <c r="A8" s="3" t="s">
        <v>13</v>
      </c>
      <c r="B8" s="5">
        <v>6394</v>
      </c>
      <c r="C8" s="1">
        <v>92.336565530184544</v>
      </c>
      <c r="D8" s="1">
        <v>105.9117923052862</v>
      </c>
      <c r="E8" s="1">
        <v>108.55489521426338</v>
      </c>
      <c r="F8" s="1">
        <v>111.19799812324054</v>
      </c>
      <c r="G8" s="1">
        <v>113.84110103221769</v>
      </c>
      <c r="H8" s="1">
        <v>106.36847044103847</v>
      </c>
    </row>
    <row r="9" spans="1:8" ht="182" x14ac:dyDescent="0.35">
      <c r="A9" s="3" t="s">
        <v>14</v>
      </c>
      <c r="B9" s="5">
        <v>2073</v>
      </c>
      <c r="C9" s="1">
        <v>262.37337192474672</v>
      </c>
      <c r="D9" s="1">
        <v>74.001597444089455</v>
      </c>
      <c r="E9" s="1">
        <v>74.423480083857442</v>
      </c>
      <c r="F9" s="1">
        <v>74.822649297046311</v>
      </c>
      <c r="G9" s="1">
        <v>75.196850393700785</v>
      </c>
      <c r="H9" s="1">
        <v>112.16358982868815</v>
      </c>
    </row>
    <row r="10" spans="1:8" ht="78" x14ac:dyDescent="0.35">
      <c r="A10" s="3" t="s">
        <v>15</v>
      </c>
      <c r="B10" s="5">
        <v>1890</v>
      </c>
      <c r="C10" s="1">
        <v>226.61375661375664</v>
      </c>
      <c r="D10" s="1">
        <v>237.67195767195767</v>
      </c>
      <c r="E10" s="1">
        <v>248.78306878306879</v>
      </c>
      <c r="F10" s="1">
        <v>259.84126984126988</v>
      </c>
      <c r="G10" s="1">
        <v>270.89947089947088</v>
      </c>
      <c r="H10" s="1">
        <v>248.76190476190476</v>
      </c>
    </row>
    <row r="11" spans="1:8" ht="91" x14ac:dyDescent="0.35">
      <c r="A11" s="3" t="s">
        <v>16</v>
      </c>
      <c r="B11" s="5">
        <v>11779</v>
      </c>
      <c r="C11" s="1">
        <v>85.796756940317508</v>
      </c>
      <c r="D11" s="1">
        <v>87.766363867900495</v>
      </c>
      <c r="E11" s="1">
        <v>89.727481110450796</v>
      </c>
      <c r="F11" s="1">
        <v>91.697088038033797</v>
      </c>
      <c r="G11" s="1">
        <v>93.658205280584099</v>
      </c>
      <c r="H11" s="1">
        <v>89.729179047457336</v>
      </c>
    </row>
    <row r="12" spans="1:8" ht="65" x14ac:dyDescent="0.35">
      <c r="A12" s="3" t="s">
        <v>17</v>
      </c>
      <c r="B12" s="4">
        <v>1171.5999999999999</v>
      </c>
      <c r="C12" s="1">
        <v>-4.7618641174462244</v>
      </c>
      <c r="D12" s="1">
        <v>-5.5616251280300322</v>
      </c>
      <c r="E12" s="1">
        <v>-6.3605326049846349</v>
      </c>
      <c r="F12" s="1">
        <v>-7.1602936155684427</v>
      </c>
      <c r="G12" s="1">
        <v>-7.96005462615227</v>
      </c>
      <c r="H12" s="1">
        <v>-6.3608740184363208</v>
      </c>
    </row>
    <row r="13" spans="1:8" ht="65" x14ac:dyDescent="0.35">
      <c r="A13" s="6" t="s">
        <v>18</v>
      </c>
      <c r="B13" s="2">
        <v>59.86</v>
      </c>
      <c r="C13" s="2">
        <v>17.858336117607749</v>
      </c>
      <c r="D13" s="2">
        <v>0.42523033309709024</v>
      </c>
      <c r="E13" s="2">
        <v>0.43754410726888116</v>
      </c>
      <c r="F13" s="2">
        <v>0.42158516020235687</v>
      </c>
      <c r="G13" s="2">
        <v>0.43380912398544963</v>
      </c>
      <c r="H13" s="2">
        <v>3.9153009684323061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Sheet1!_Hlk137195234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2024-09-11T10:18:55Z</dcterms:created>
  <dcterms:modified xsi:type="dcterms:W3CDTF">2024-09-20T14:10:09Z</dcterms:modified>
</cp:coreProperties>
</file>